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4" i="1" l="1"/>
  <c r="F574" i="1"/>
  <c r="E574" i="1"/>
  <c r="D574" i="1"/>
  <c r="G531" i="1"/>
  <c r="I531" i="1" s="1"/>
  <c r="G529" i="1"/>
  <c r="I529" i="1" s="1"/>
  <c r="G533" i="1"/>
  <c r="I533" i="1" s="1"/>
  <c r="G530" i="1"/>
  <c r="I530" i="1" s="1"/>
  <c r="G523" i="1"/>
  <c r="I523" i="1" s="1"/>
  <c r="G527" i="1"/>
  <c r="I527" i="1" s="1"/>
  <c r="G525" i="1"/>
  <c r="I525" i="1" s="1"/>
  <c r="G572" i="1"/>
  <c r="I572" i="1" s="1"/>
  <c r="G571" i="1"/>
  <c r="I571" i="1" s="1"/>
  <c r="G570" i="1"/>
  <c r="I570" i="1" s="1"/>
  <c r="G569" i="1"/>
  <c r="I569" i="1" s="1"/>
  <c r="G568" i="1"/>
  <c r="I568" i="1" s="1"/>
  <c r="I567" i="1"/>
  <c r="G567" i="1"/>
  <c r="G566" i="1"/>
  <c r="I566" i="1" s="1"/>
  <c r="G565" i="1"/>
  <c r="I565" i="1" s="1"/>
  <c r="G564" i="1"/>
  <c r="I564" i="1" s="1"/>
  <c r="G560" i="1"/>
  <c r="I560" i="1" s="1"/>
  <c r="G559" i="1"/>
  <c r="I559" i="1" s="1"/>
  <c r="G554" i="1"/>
  <c r="I554" i="1" s="1"/>
  <c r="G553" i="1"/>
  <c r="I553" i="1" s="1"/>
  <c r="G551" i="1"/>
  <c r="I551" i="1" s="1"/>
  <c r="G550" i="1"/>
  <c r="I550" i="1" s="1"/>
  <c r="G549" i="1"/>
  <c r="I549" i="1" s="1"/>
  <c r="G548" i="1"/>
  <c r="I548" i="1" s="1"/>
  <c r="G547" i="1"/>
  <c r="I547" i="1" s="1"/>
  <c r="G540" i="1"/>
  <c r="I540" i="1" s="1"/>
  <c r="G515" i="1"/>
  <c r="I515" i="1" s="1"/>
  <c r="G513" i="1"/>
  <c r="I513" i="1" s="1"/>
  <c r="G517" i="1"/>
  <c r="I517" i="1" s="1"/>
  <c r="G514" i="1"/>
  <c r="I514" i="1" s="1"/>
  <c r="G520" i="1"/>
  <c r="I520" i="1" s="1"/>
  <c r="G526" i="1"/>
  <c r="I526" i="1" s="1"/>
  <c r="G511" i="1"/>
  <c r="I511" i="1" s="1"/>
  <c r="G546" i="1"/>
  <c r="I546" i="1" s="1"/>
  <c r="G508" i="1"/>
  <c r="I508" i="1" s="1"/>
  <c r="G558" i="1"/>
  <c r="I558" i="1" s="1"/>
  <c r="G538" i="1"/>
  <c r="I538" i="1" s="1"/>
  <c r="G563" i="1"/>
  <c r="I563" i="1" s="1"/>
  <c r="G534" i="1"/>
  <c r="I534" i="1" s="1"/>
  <c r="G518" i="1"/>
  <c r="I518" i="1" s="1"/>
  <c r="G545" i="1"/>
  <c r="I545" i="1" s="1"/>
  <c r="G536" i="1"/>
  <c r="I536" i="1" s="1"/>
  <c r="G509" i="1"/>
  <c r="I509" i="1" s="1"/>
  <c r="G557" i="1"/>
  <c r="I557" i="1" s="1"/>
  <c r="G544" i="1"/>
  <c r="I544" i="1" s="1"/>
  <c r="G516" i="1"/>
  <c r="I516" i="1" s="1"/>
  <c r="G552" i="1"/>
  <c r="I552" i="1" s="1"/>
  <c r="G541" i="1"/>
  <c r="I541" i="1" s="1"/>
  <c r="G556" i="1"/>
  <c r="I556" i="1" s="1"/>
  <c r="G543" i="1"/>
  <c r="I543" i="1" s="1"/>
  <c r="G555" i="1"/>
  <c r="I555" i="1" s="1"/>
  <c r="G562" i="1"/>
  <c r="I562" i="1" s="1"/>
  <c r="G539" i="1"/>
  <c r="I539" i="1" s="1"/>
  <c r="G561" i="1"/>
  <c r="I561" i="1" s="1"/>
  <c r="G537" i="1"/>
  <c r="I537" i="1" s="1"/>
  <c r="G510" i="1"/>
  <c r="I510" i="1" s="1"/>
  <c r="G512" i="1"/>
  <c r="I512" i="1" s="1"/>
  <c r="G519" i="1"/>
  <c r="I519" i="1" s="1"/>
  <c r="G573" i="1"/>
  <c r="I573" i="1" s="1"/>
  <c r="G542" i="1"/>
  <c r="I542" i="1" s="1"/>
  <c r="G522" i="1"/>
  <c r="I522" i="1" s="1"/>
  <c r="G521" i="1"/>
  <c r="I521" i="1" s="1"/>
  <c r="G528" i="1"/>
  <c r="I528" i="1" s="1"/>
  <c r="G535" i="1"/>
  <c r="I535" i="1" s="1"/>
  <c r="G524" i="1"/>
  <c r="I524" i="1" s="1"/>
  <c r="G532" i="1"/>
  <c r="I532" i="1" s="1"/>
  <c r="F503" i="1"/>
  <c r="E503" i="1"/>
  <c r="D503" i="1"/>
  <c r="G502" i="1"/>
  <c r="I502" i="1" s="1"/>
  <c r="G501" i="1"/>
  <c r="I501" i="1" s="1"/>
  <c r="G500" i="1"/>
  <c r="I500" i="1" s="1"/>
  <c r="H499" i="1"/>
  <c r="H503" i="1" s="1"/>
  <c r="G499" i="1"/>
  <c r="I499" i="1" s="1"/>
  <c r="G498" i="1"/>
  <c r="I498" i="1" s="1"/>
  <c r="G497" i="1"/>
  <c r="I497" i="1" s="1"/>
  <c r="G496" i="1"/>
  <c r="I496" i="1" s="1"/>
  <c r="G495" i="1"/>
  <c r="I495" i="1" s="1"/>
  <c r="G494" i="1"/>
  <c r="I494" i="1" s="1"/>
  <c r="G493" i="1"/>
  <c r="I493" i="1" s="1"/>
  <c r="G492" i="1"/>
  <c r="I492" i="1" s="1"/>
  <c r="G491" i="1"/>
  <c r="I491" i="1" s="1"/>
  <c r="G490" i="1"/>
  <c r="I490" i="1" s="1"/>
  <c r="G489" i="1"/>
  <c r="I489" i="1" s="1"/>
  <c r="G488" i="1"/>
  <c r="I488" i="1" s="1"/>
  <c r="G487" i="1"/>
  <c r="I487" i="1" s="1"/>
  <c r="G486" i="1"/>
  <c r="I486" i="1" s="1"/>
  <c r="G485" i="1"/>
  <c r="I485" i="1" s="1"/>
  <c r="G484" i="1"/>
  <c r="I484" i="1" s="1"/>
  <c r="G483" i="1"/>
  <c r="I483" i="1" s="1"/>
  <c r="G482" i="1"/>
  <c r="I482" i="1" s="1"/>
  <c r="G481" i="1"/>
  <c r="I481" i="1" s="1"/>
  <c r="G480" i="1"/>
  <c r="I480" i="1" s="1"/>
  <c r="G479" i="1"/>
  <c r="I479" i="1" s="1"/>
  <c r="G478" i="1"/>
  <c r="I478" i="1" s="1"/>
  <c r="G477" i="1"/>
  <c r="I477" i="1" s="1"/>
  <c r="G476" i="1"/>
  <c r="I476" i="1" s="1"/>
  <c r="G475" i="1"/>
  <c r="I475" i="1" s="1"/>
  <c r="G474" i="1"/>
  <c r="I474" i="1" s="1"/>
  <c r="G473" i="1"/>
  <c r="I473" i="1" s="1"/>
  <c r="G472" i="1"/>
  <c r="I472" i="1" s="1"/>
  <c r="G471" i="1"/>
  <c r="I471" i="1" s="1"/>
  <c r="G470" i="1"/>
  <c r="I470" i="1" s="1"/>
  <c r="G469" i="1"/>
  <c r="I469" i="1" s="1"/>
  <c r="G468" i="1"/>
  <c r="I468" i="1" s="1"/>
  <c r="G467" i="1"/>
  <c r="I467" i="1" s="1"/>
  <c r="G466" i="1"/>
  <c r="I466" i="1" s="1"/>
  <c r="G464" i="1"/>
  <c r="G465" i="1"/>
  <c r="I465" i="1" s="1"/>
  <c r="G463" i="1"/>
  <c r="I463" i="1" s="1"/>
  <c r="F458" i="1"/>
  <c r="E458" i="1"/>
  <c r="D458" i="1"/>
  <c r="H457" i="1"/>
  <c r="G457" i="1"/>
  <c r="G456" i="1"/>
  <c r="I456" i="1" s="1"/>
  <c r="I455" i="1"/>
  <c r="G455" i="1"/>
  <c r="G454" i="1"/>
  <c r="I454" i="1" s="1"/>
  <c r="G453" i="1"/>
  <c r="I453" i="1" s="1"/>
  <c r="G452" i="1"/>
  <c r="I452" i="1" s="1"/>
  <c r="G451" i="1"/>
  <c r="I451" i="1" s="1"/>
  <c r="G450" i="1"/>
  <c r="I450" i="1" s="1"/>
  <c r="G449" i="1"/>
  <c r="I449" i="1" s="1"/>
  <c r="G448" i="1"/>
  <c r="I448" i="1" s="1"/>
  <c r="G447" i="1"/>
  <c r="I447" i="1" s="1"/>
  <c r="G446" i="1"/>
  <c r="I446" i="1" s="1"/>
  <c r="G445" i="1"/>
  <c r="I445" i="1" s="1"/>
  <c r="G444" i="1"/>
  <c r="I444" i="1" s="1"/>
  <c r="G443" i="1"/>
  <c r="I443" i="1" s="1"/>
  <c r="G442" i="1"/>
  <c r="I442" i="1" s="1"/>
  <c r="G441" i="1"/>
  <c r="I441" i="1" s="1"/>
  <c r="G440" i="1"/>
  <c r="I440" i="1" s="1"/>
  <c r="G439" i="1"/>
  <c r="I439" i="1" s="1"/>
  <c r="H434" i="1"/>
  <c r="F434" i="1"/>
  <c r="E434" i="1"/>
  <c r="D434" i="1"/>
  <c r="G433" i="1"/>
  <c r="I433" i="1" s="1"/>
  <c r="G432" i="1"/>
  <c r="I432" i="1" s="1"/>
  <c r="G431" i="1"/>
  <c r="I431" i="1" s="1"/>
  <c r="G430" i="1"/>
  <c r="I430" i="1" s="1"/>
  <c r="G429" i="1"/>
  <c r="I429" i="1" s="1"/>
  <c r="I428" i="1"/>
  <c r="G428" i="1"/>
  <c r="G427" i="1"/>
  <c r="I427" i="1" s="1"/>
  <c r="G426" i="1"/>
  <c r="I426" i="1" s="1"/>
  <c r="G425" i="1"/>
  <c r="I425" i="1" s="1"/>
  <c r="G424" i="1"/>
  <c r="I424" i="1" s="1"/>
  <c r="G423" i="1"/>
  <c r="I423" i="1" s="1"/>
  <c r="G422" i="1"/>
  <c r="I422" i="1" s="1"/>
  <c r="G421" i="1"/>
  <c r="I421" i="1" s="1"/>
  <c r="G420" i="1"/>
  <c r="I420" i="1" s="1"/>
  <c r="G419" i="1"/>
  <c r="I419" i="1" s="1"/>
  <c r="G418" i="1"/>
  <c r="I418" i="1" s="1"/>
  <c r="G417" i="1"/>
  <c r="I417" i="1" s="1"/>
  <c r="G416" i="1"/>
  <c r="I416" i="1" s="1"/>
  <c r="G415" i="1"/>
  <c r="I415" i="1" s="1"/>
  <c r="G414" i="1"/>
  <c r="I414" i="1" s="1"/>
  <c r="G413" i="1"/>
  <c r="I413" i="1" s="1"/>
  <c r="G412" i="1"/>
  <c r="I412" i="1" s="1"/>
  <c r="G411" i="1"/>
  <c r="I411" i="1" s="1"/>
  <c r="G410" i="1"/>
  <c r="I410" i="1" s="1"/>
  <c r="G409" i="1"/>
  <c r="I409" i="1" s="1"/>
  <c r="G408" i="1"/>
  <c r="I408" i="1" s="1"/>
  <c r="G407" i="1"/>
  <c r="I407" i="1" s="1"/>
  <c r="G406" i="1"/>
  <c r="I406" i="1" s="1"/>
  <c r="G405" i="1"/>
  <c r="I405" i="1" s="1"/>
  <c r="G404" i="1"/>
  <c r="I404" i="1" s="1"/>
  <c r="G403" i="1"/>
  <c r="I403" i="1" s="1"/>
  <c r="G402" i="1"/>
  <c r="I402" i="1" s="1"/>
  <c r="G401" i="1"/>
  <c r="I401" i="1" s="1"/>
  <c r="G400" i="1"/>
  <c r="I400" i="1" s="1"/>
  <c r="G399" i="1"/>
  <c r="I399" i="1" s="1"/>
  <c r="G398" i="1"/>
  <c r="I398" i="1" s="1"/>
  <c r="G397" i="1"/>
  <c r="I397" i="1" s="1"/>
  <c r="G396" i="1"/>
  <c r="I396" i="1" s="1"/>
  <c r="G395" i="1"/>
  <c r="I395" i="1" s="1"/>
  <c r="G394" i="1"/>
  <c r="I394" i="1" s="1"/>
  <c r="G393" i="1"/>
  <c r="I393" i="1" s="1"/>
  <c r="G392" i="1"/>
  <c r="I392" i="1" s="1"/>
  <c r="G391" i="1"/>
  <c r="I391" i="1" s="1"/>
  <c r="G390" i="1"/>
  <c r="F385" i="1"/>
  <c r="E385" i="1"/>
  <c r="D385" i="1"/>
  <c r="G384" i="1"/>
  <c r="I384" i="1" s="1"/>
  <c r="G383" i="1"/>
  <c r="I383" i="1" s="1"/>
  <c r="G382" i="1"/>
  <c r="I382" i="1" s="1"/>
  <c r="G381" i="1"/>
  <c r="I381" i="1" s="1"/>
  <c r="G380" i="1"/>
  <c r="I380" i="1" s="1"/>
  <c r="G379" i="1"/>
  <c r="I379" i="1" s="1"/>
  <c r="G378" i="1"/>
  <c r="I378" i="1" s="1"/>
  <c r="G377" i="1"/>
  <c r="I377" i="1" s="1"/>
  <c r="G376" i="1"/>
  <c r="I376" i="1" s="1"/>
  <c r="G375" i="1"/>
  <c r="I375" i="1" s="1"/>
  <c r="G374" i="1"/>
  <c r="I374" i="1" s="1"/>
  <c r="G373" i="1"/>
  <c r="I373" i="1" s="1"/>
  <c r="G372" i="1"/>
  <c r="I372" i="1" s="1"/>
  <c r="G371" i="1"/>
  <c r="I371" i="1" s="1"/>
  <c r="G370" i="1"/>
  <c r="I370" i="1" s="1"/>
  <c r="G369" i="1"/>
  <c r="I369" i="1" s="1"/>
  <c r="G368" i="1"/>
  <c r="I368" i="1" s="1"/>
  <c r="G367" i="1"/>
  <c r="I367" i="1" s="1"/>
  <c r="G366" i="1"/>
  <c r="I366" i="1" s="1"/>
  <c r="G365" i="1"/>
  <c r="I365" i="1" s="1"/>
  <c r="H364" i="1"/>
  <c r="H385" i="1" s="1"/>
  <c r="G364" i="1"/>
  <c r="G363" i="1"/>
  <c r="I363" i="1" s="1"/>
  <c r="G362" i="1"/>
  <c r="I362" i="1" s="1"/>
  <c r="G361" i="1"/>
  <c r="I361" i="1" s="1"/>
  <c r="G360" i="1"/>
  <c r="I360" i="1" s="1"/>
  <c r="G359" i="1"/>
  <c r="I359" i="1" s="1"/>
  <c r="G358" i="1"/>
  <c r="I358" i="1" s="1"/>
  <c r="G357" i="1"/>
  <c r="I357" i="1" s="1"/>
  <c r="G356" i="1"/>
  <c r="I356" i="1" s="1"/>
  <c r="G355" i="1"/>
  <c r="I355" i="1" s="1"/>
  <c r="G354" i="1"/>
  <c r="I354" i="1" s="1"/>
  <c r="G353" i="1"/>
  <c r="I353" i="1" s="1"/>
  <c r="G352" i="1"/>
  <c r="I352" i="1" s="1"/>
  <c r="G351" i="1"/>
  <c r="I351" i="1" s="1"/>
  <c r="G350" i="1"/>
  <c r="I350" i="1" s="1"/>
  <c r="G349" i="1"/>
  <c r="G348" i="1"/>
  <c r="I348" i="1" s="1"/>
  <c r="G347" i="1"/>
  <c r="I347" i="1" s="1"/>
  <c r="H342" i="1"/>
  <c r="F342" i="1"/>
  <c r="E342" i="1"/>
  <c r="D342" i="1"/>
  <c r="G341" i="1"/>
  <c r="I341" i="1" s="1"/>
  <c r="G340" i="1"/>
  <c r="I340" i="1" s="1"/>
  <c r="G339" i="1"/>
  <c r="I339" i="1" s="1"/>
  <c r="G338" i="1"/>
  <c r="I338" i="1" s="1"/>
  <c r="G337" i="1"/>
  <c r="I337" i="1" s="1"/>
  <c r="G336" i="1"/>
  <c r="I336" i="1" s="1"/>
  <c r="G335" i="1"/>
  <c r="I335" i="1" s="1"/>
  <c r="G334" i="1"/>
  <c r="I334" i="1" s="1"/>
  <c r="G333" i="1"/>
  <c r="I333" i="1" s="1"/>
  <c r="G332" i="1"/>
  <c r="I332" i="1" s="1"/>
  <c r="G331" i="1"/>
  <c r="I331" i="1" s="1"/>
  <c r="G330" i="1"/>
  <c r="I330" i="1" s="1"/>
  <c r="G329" i="1"/>
  <c r="I329" i="1" s="1"/>
  <c r="G328" i="1"/>
  <c r="I328" i="1" s="1"/>
  <c r="G327" i="1"/>
  <c r="I327" i="1" s="1"/>
  <c r="G326" i="1"/>
  <c r="I326" i="1" s="1"/>
  <c r="G325" i="1"/>
  <c r="I325" i="1" s="1"/>
  <c r="G324" i="1"/>
  <c r="I324" i="1" s="1"/>
  <c r="G323" i="1"/>
  <c r="I323" i="1" s="1"/>
  <c r="G322" i="1"/>
  <c r="I322" i="1" s="1"/>
  <c r="G321" i="1"/>
  <c r="I321" i="1" s="1"/>
  <c r="G320" i="1"/>
  <c r="I320" i="1" s="1"/>
  <c r="G319" i="1"/>
  <c r="I319" i="1" s="1"/>
  <c r="G318" i="1"/>
  <c r="I318" i="1" s="1"/>
  <c r="G317" i="1"/>
  <c r="I317" i="1" s="1"/>
  <c r="G316" i="1"/>
  <c r="I316" i="1" s="1"/>
  <c r="G315" i="1"/>
  <c r="I315" i="1" s="1"/>
  <c r="G314" i="1"/>
  <c r="I314" i="1" s="1"/>
  <c r="G313" i="1"/>
  <c r="I313" i="1" s="1"/>
  <c r="G312" i="1"/>
  <c r="I312" i="1" s="1"/>
  <c r="G311" i="1"/>
  <c r="I311" i="1" s="1"/>
  <c r="G310" i="1"/>
  <c r="I310" i="1" s="1"/>
  <c r="G309" i="1"/>
  <c r="I309" i="1" s="1"/>
  <c r="G308" i="1"/>
  <c r="I308" i="1" s="1"/>
  <c r="G307" i="1"/>
  <c r="I307" i="1" s="1"/>
  <c r="G306" i="1"/>
  <c r="I306" i="1" s="1"/>
  <c r="G305" i="1"/>
  <c r="I305" i="1" s="1"/>
  <c r="G304" i="1"/>
  <c r="I304" i="1" s="1"/>
  <c r="G303" i="1"/>
  <c r="I303" i="1" s="1"/>
  <c r="G302" i="1"/>
  <c r="I302" i="1" s="1"/>
  <c r="G301" i="1"/>
  <c r="I301" i="1" s="1"/>
  <c r="G300" i="1"/>
  <c r="I300" i="1" s="1"/>
  <c r="G299" i="1"/>
  <c r="I299" i="1" s="1"/>
  <c r="G298" i="1"/>
  <c r="I298" i="1" s="1"/>
  <c r="H293" i="1"/>
  <c r="F293" i="1"/>
  <c r="E293" i="1"/>
  <c r="D293" i="1"/>
  <c r="G292" i="1"/>
  <c r="I292" i="1" s="1"/>
  <c r="G291" i="1"/>
  <c r="I291" i="1" s="1"/>
  <c r="G290" i="1"/>
  <c r="I290" i="1" s="1"/>
  <c r="G289" i="1"/>
  <c r="I289" i="1" s="1"/>
  <c r="G288" i="1"/>
  <c r="I288" i="1" s="1"/>
  <c r="G287" i="1"/>
  <c r="I287" i="1" s="1"/>
  <c r="G286" i="1"/>
  <c r="I286" i="1" s="1"/>
  <c r="G285" i="1"/>
  <c r="I285" i="1" s="1"/>
  <c r="G284" i="1"/>
  <c r="I284" i="1" s="1"/>
  <c r="G283" i="1"/>
  <c r="I283" i="1" s="1"/>
  <c r="G282" i="1"/>
  <c r="I282" i="1" s="1"/>
  <c r="G281" i="1"/>
  <c r="I281" i="1" s="1"/>
  <c r="G280" i="1"/>
  <c r="I280" i="1" s="1"/>
  <c r="G279" i="1"/>
  <c r="I279" i="1" s="1"/>
  <c r="G278" i="1"/>
  <c r="I278" i="1" s="1"/>
  <c r="G277" i="1"/>
  <c r="I277" i="1" s="1"/>
  <c r="G276" i="1"/>
  <c r="I276" i="1" s="1"/>
  <c r="G275" i="1"/>
  <c r="I275" i="1" s="1"/>
  <c r="I274" i="1"/>
  <c r="G274" i="1"/>
  <c r="G273" i="1"/>
  <c r="I273" i="1" s="1"/>
  <c r="G272" i="1"/>
  <c r="I272" i="1" s="1"/>
  <c r="G271" i="1"/>
  <c r="I271" i="1" s="1"/>
  <c r="G269" i="1"/>
  <c r="I269" i="1" s="1"/>
  <c r="G268" i="1"/>
  <c r="I268" i="1" s="1"/>
  <c r="G267" i="1"/>
  <c r="I267" i="1" s="1"/>
  <c r="G265" i="1"/>
  <c r="I265" i="1" s="1"/>
  <c r="G264" i="1"/>
  <c r="I264" i="1" s="1"/>
  <c r="G263" i="1"/>
  <c r="I263" i="1" s="1"/>
  <c r="G262" i="1"/>
  <c r="I262" i="1" s="1"/>
  <c r="I261" i="1"/>
  <c r="G261" i="1"/>
  <c r="G260" i="1"/>
  <c r="I260" i="1" s="1"/>
  <c r="G259" i="1"/>
  <c r="I259" i="1" s="1"/>
  <c r="G258" i="1"/>
  <c r="I258" i="1" s="1"/>
  <c r="G266" i="1"/>
  <c r="I266" i="1" s="1"/>
  <c r="G257" i="1"/>
  <c r="I257" i="1" s="1"/>
  <c r="G256" i="1"/>
  <c r="I256" i="1" s="1"/>
  <c r="G255" i="1"/>
  <c r="I255" i="1" s="1"/>
  <c r="G254" i="1"/>
  <c r="I254" i="1" s="1"/>
  <c r="G253" i="1"/>
  <c r="I253" i="1" s="1"/>
  <c r="G252" i="1"/>
  <c r="I252" i="1" s="1"/>
  <c r="G251" i="1"/>
  <c r="I251" i="1" s="1"/>
  <c r="G270" i="1"/>
  <c r="I270" i="1" s="1"/>
  <c r="G250" i="1"/>
  <c r="I250" i="1" s="1"/>
  <c r="G249" i="1"/>
  <c r="G248" i="1"/>
  <c r="I248" i="1" s="1"/>
  <c r="G247" i="1"/>
  <c r="I247" i="1" s="1"/>
  <c r="H242" i="1"/>
  <c r="F242" i="1"/>
  <c r="E242" i="1"/>
  <c r="D242" i="1"/>
  <c r="G241" i="1"/>
  <c r="I241" i="1" s="1"/>
  <c r="G240" i="1"/>
  <c r="I240" i="1" s="1"/>
  <c r="G239" i="1"/>
  <c r="I239" i="1" s="1"/>
  <c r="G238" i="1"/>
  <c r="I238" i="1" s="1"/>
  <c r="G237" i="1"/>
  <c r="I237" i="1" s="1"/>
  <c r="G233" i="1"/>
  <c r="I233" i="1" s="1"/>
  <c r="G236" i="1"/>
  <c r="I236" i="1" s="1"/>
  <c r="G235" i="1"/>
  <c r="I235" i="1" s="1"/>
  <c r="I218" i="1"/>
  <c r="G218" i="1"/>
  <c r="G232" i="1"/>
  <c r="I232" i="1" s="1"/>
  <c r="G231" i="1"/>
  <c r="I231" i="1" s="1"/>
  <c r="G229" i="1"/>
  <c r="I229" i="1" s="1"/>
  <c r="G228" i="1"/>
  <c r="I228" i="1" s="1"/>
  <c r="G227" i="1"/>
  <c r="I227" i="1" s="1"/>
  <c r="G226" i="1"/>
  <c r="I226" i="1" s="1"/>
  <c r="G225" i="1"/>
  <c r="I225" i="1" s="1"/>
  <c r="G224" i="1"/>
  <c r="I224" i="1" s="1"/>
  <c r="G223" i="1"/>
  <c r="I223" i="1" s="1"/>
  <c r="G222" i="1"/>
  <c r="I222" i="1" s="1"/>
  <c r="G221" i="1"/>
  <c r="I221" i="1" s="1"/>
  <c r="G220" i="1"/>
  <c r="I220" i="1" s="1"/>
  <c r="G219" i="1"/>
  <c r="I219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201" i="1"/>
  <c r="I201" i="1" s="1"/>
  <c r="G200" i="1"/>
  <c r="I200" i="1" s="1"/>
  <c r="G199" i="1"/>
  <c r="I199" i="1" s="1"/>
  <c r="G198" i="1"/>
  <c r="I198" i="1" s="1"/>
  <c r="G197" i="1"/>
  <c r="I197" i="1" s="1"/>
  <c r="G196" i="1"/>
  <c r="I196" i="1" s="1"/>
  <c r="G195" i="1"/>
  <c r="I195" i="1" s="1"/>
  <c r="G194" i="1"/>
  <c r="I194" i="1" s="1"/>
  <c r="G193" i="1"/>
  <c r="I193" i="1" s="1"/>
  <c r="G192" i="1"/>
  <c r="I192" i="1" s="1"/>
  <c r="G191" i="1"/>
  <c r="I191" i="1" s="1"/>
  <c r="G190" i="1"/>
  <c r="I190" i="1" s="1"/>
  <c r="G189" i="1"/>
  <c r="I189" i="1" s="1"/>
  <c r="G188" i="1"/>
  <c r="I188" i="1" s="1"/>
  <c r="G187" i="1"/>
  <c r="I187" i="1" s="1"/>
  <c r="G186" i="1"/>
  <c r="I186" i="1" s="1"/>
  <c r="G185" i="1"/>
  <c r="I185" i="1" s="1"/>
  <c r="G184" i="1"/>
  <c r="I184" i="1" s="1"/>
  <c r="G183" i="1"/>
  <c r="I183" i="1" s="1"/>
  <c r="G234" i="1"/>
  <c r="I234" i="1" s="1"/>
  <c r="G230" i="1"/>
  <c r="I230" i="1" s="1"/>
  <c r="G182" i="1"/>
  <c r="I182" i="1" s="1"/>
  <c r="H177" i="1"/>
  <c r="F177" i="1"/>
  <c r="E177" i="1"/>
  <c r="D177" i="1"/>
  <c r="G176" i="1"/>
  <c r="I176" i="1" s="1"/>
  <c r="G175" i="1"/>
  <c r="I175" i="1" s="1"/>
  <c r="G174" i="1"/>
  <c r="I174" i="1" s="1"/>
  <c r="G172" i="1"/>
  <c r="I172" i="1" s="1"/>
  <c r="G170" i="1"/>
  <c r="I170" i="1" s="1"/>
  <c r="G169" i="1"/>
  <c r="I169" i="1" s="1"/>
  <c r="G168" i="1"/>
  <c r="I168" i="1" s="1"/>
  <c r="G167" i="1"/>
  <c r="I167" i="1" s="1"/>
  <c r="G166" i="1"/>
  <c r="I166" i="1" s="1"/>
  <c r="G165" i="1"/>
  <c r="I165" i="1" s="1"/>
  <c r="G164" i="1"/>
  <c r="I164" i="1" s="1"/>
  <c r="G163" i="1"/>
  <c r="I163" i="1" s="1"/>
  <c r="G162" i="1"/>
  <c r="I162" i="1" s="1"/>
  <c r="G161" i="1"/>
  <c r="I161" i="1" s="1"/>
  <c r="G159" i="1"/>
  <c r="I159" i="1" s="1"/>
  <c r="G158" i="1"/>
  <c r="I158" i="1" s="1"/>
  <c r="G157" i="1"/>
  <c r="I157" i="1" s="1"/>
  <c r="G156" i="1"/>
  <c r="I156" i="1" s="1"/>
  <c r="G171" i="1"/>
  <c r="I171" i="1" s="1"/>
  <c r="G160" i="1"/>
  <c r="I160" i="1" s="1"/>
  <c r="G155" i="1"/>
  <c r="I155" i="1" s="1"/>
  <c r="G154" i="1"/>
  <c r="I154" i="1" s="1"/>
  <c r="G153" i="1"/>
  <c r="I153" i="1" s="1"/>
  <c r="G152" i="1"/>
  <c r="I152" i="1" s="1"/>
  <c r="G173" i="1"/>
  <c r="I173" i="1" s="1"/>
  <c r="G151" i="1"/>
  <c r="I151" i="1" s="1"/>
  <c r="G150" i="1"/>
  <c r="I150" i="1" s="1"/>
  <c r="G149" i="1"/>
  <c r="I149" i="1" s="1"/>
  <c r="G148" i="1"/>
  <c r="I148" i="1" s="1"/>
  <c r="G147" i="1"/>
  <c r="I147" i="1" s="1"/>
  <c r="H142" i="1"/>
  <c r="F142" i="1"/>
  <c r="E142" i="1"/>
  <c r="D142" i="1"/>
  <c r="G141" i="1"/>
  <c r="I141" i="1" s="1"/>
  <c r="G140" i="1"/>
  <c r="I140" i="1" s="1"/>
  <c r="G139" i="1"/>
  <c r="I139" i="1" s="1"/>
  <c r="G138" i="1"/>
  <c r="I138" i="1" s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18" i="1"/>
  <c r="I118" i="1" s="1"/>
  <c r="G117" i="1"/>
  <c r="I117" i="1" s="1"/>
  <c r="G116" i="1"/>
  <c r="I116" i="1" s="1"/>
  <c r="G115" i="1"/>
  <c r="I115" i="1" s="1"/>
  <c r="G114" i="1"/>
  <c r="I114" i="1" s="1"/>
  <c r="F109" i="1"/>
  <c r="E109" i="1"/>
  <c r="D109" i="1"/>
  <c r="G108" i="1"/>
  <c r="I108" i="1" s="1"/>
  <c r="G107" i="1"/>
  <c r="I107" i="1" s="1"/>
  <c r="G106" i="1"/>
  <c r="I106" i="1" s="1"/>
  <c r="G105" i="1"/>
  <c r="I105" i="1" s="1"/>
  <c r="H104" i="1"/>
  <c r="H109" i="1" s="1"/>
  <c r="G104" i="1"/>
  <c r="G103" i="1"/>
  <c r="I103" i="1" s="1"/>
  <c r="G102" i="1"/>
  <c r="I102" i="1" s="1"/>
  <c r="G101" i="1"/>
  <c r="I101" i="1" s="1"/>
  <c r="G100" i="1"/>
  <c r="I100" i="1" s="1"/>
  <c r="G99" i="1"/>
  <c r="I99" i="1" s="1"/>
  <c r="G98" i="1"/>
  <c r="I98" i="1" s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G90" i="1"/>
  <c r="I90" i="1" s="1"/>
  <c r="G89" i="1"/>
  <c r="I89" i="1" s="1"/>
  <c r="G88" i="1"/>
  <c r="I88" i="1" s="1"/>
  <c r="G86" i="1"/>
  <c r="I86" i="1" s="1"/>
  <c r="G85" i="1"/>
  <c r="I85" i="1" s="1"/>
  <c r="G84" i="1"/>
  <c r="I84" i="1" s="1"/>
  <c r="G83" i="1"/>
  <c r="I83" i="1" s="1"/>
  <c r="G82" i="1"/>
  <c r="I82" i="1" s="1"/>
  <c r="G81" i="1"/>
  <c r="I81" i="1" s="1"/>
  <c r="G80" i="1"/>
  <c r="I80" i="1" s="1"/>
  <c r="G79" i="1"/>
  <c r="I79" i="1" s="1"/>
  <c r="G78" i="1"/>
  <c r="I78" i="1" s="1"/>
  <c r="G77" i="1"/>
  <c r="I77" i="1" s="1"/>
  <c r="G76" i="1"/>
  <c r="I7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G87" i="1"/>
  <c r="I87" i="1" s="1"/>
  <c r="G56" i="1"/>
  <c r="I56" i="1" s="1"/>
  <c r="F51" i="1"/>
  <c r="E51" i="1"/>
  <c r="D51" i="1"/>
  <c r="G30" i="1"/>
  <c r="I30" i="1" s="1"/>
  <c r="G47" i="1"/>
  <c r="I47" i="1" s="1"/>
  <c r="G12" i="1"/>
  <c r="I12" i="1" s="1"/>
  <c r="G17" i="1"/>
  <c r="I17" i="1" s="1"/>
  <c r="G10" i="1"/>
  <c r="I10" i="1" s="1"/>
  <c r="G50" i="1"/>
  <c r="I50" i="1" s="1"/>
  <c r="G46" i="1"/>
  <c r="I46" i="1" s="1"/>
  <c r="G40" i="1"/>
  <c r="I40" i="1" s="1"/>
  <c r="G39" i="1"/>
  <c r="I39" i="1" s="1"/>
  <c r="G28" i="1"/>
  <c r="I28" i="1" s="1"/>
  <c r="G26" i="1"/>
  <c r="I26" i="1" s="1"/>
  <c r="G43" i="1"/>
  <c r="I43" i="1" s="1"/>
  <c r="G36" i="1"/>
  <c r="I36" i="1" s="1"/>
  <c r="G25" i="1"/>
  <c r="I25" i="1" s="1"/>
  <c r="G24" i="1"/>
  <c r="I24" i="1" s="1"/>
  <c r="G19" i="1"/>
  <c r="I19" i="1" s="1"/>
  <c r="G18" i="1"/>
  <c r="I18" i="1" s="1"/>
  <c r="G16" i="1"/>
  <c r="I16" i="1" s="1"/>
  <c r="G7" i="1"/>
  <c r="I7" i="1" s="1"/>
  <c r="G5" i="1"/>
  <c r="I5" i="1" s="1"/>
  <c r="G35" i="1"/>
  <c r="I35" i="1" s="1"/>
  <c r="G32" i="1"/>
  <c r="I32" i="1" s="1"/>
  <c r="G27" i="1"/>
  <c r="I27" i="1" s="1"/>
  <c r="G49" i="1"/>
  <c r="I49" i="1" s="1"/>
  <c r="G34" i="1"/>
  <c r="I34" i="1" s="1"/>
  <c r="G33" i="1"/>
  <c r="I33" i="1" s="1"/>
  <c r="G44" i="1"/>
  <c r="I44" i="1" s="1"/>
  <c r="G42" i="1"/>
  <c r="I42" i="1" s="1"/>
  <c r="G41" i="1"/>
  <c r="I41" i="1" s="1"/>
  <c r="G38" i="1"/>
  <c r="I38" i="1" s="1"/>
  <c r="G37" i="1"/>
  <c r="I37" i="1" s="1"/>
  <c r="G31" i="1"/>
  <c r="I31" i="1" s="1"/>
  <c r="G23" i="1"/>
  <c r="I23" i="1" s="1"/>
  <c r="G11" i="1"/>
  <c r="I11" i="1" s="1"/>
  <c r="G9" i="1"/>
  <c r="I9" i="1" s="1"/>
  <c r="G8" i="1"/>
  <c r="I8" i="1" s="1"/>
  <c r="G6" i="1"/>
  <c r="I6" i="1" s="1"/>
  <c r="G21" i="1"/>
  <c r="I21" i="1" s="1"/>
  <c r="G48" i="1"/>
  <c r="I48" i="1" s="1"/>
  <c r="G22" i="1"/>
  <c r="I22" i="1" s="1"/>
  <c r="H20" i="1"/>
  <c r="H51" i="1" s="1"/>
  <c r="G20" i="1"/>
  <c r="G45" i="1"/>
  <c r="I45" i="1" s="1"/>
  <c r="G29" i="1"/>
  <c r="I29" i="1" s="1"/>
  <c r="G15" i="1"/>
  <c r="I15" i="1" s="1"/>
  <c r="G14" i="1"/>
  <c r="I14" i="1" s="1"/>
  <c r="G13" i="1"/>
  <c r="I364" i="1" l="1"/>
  <c r="I20" i="1"/>
  <c r="I104" i="1"/>
  <c r="G574" i="1"/>
  <c r="G293" i="1"/>
  <c r="G434" i="1"/>
  <c r="G51" i="1"/>
  <c r="I13" i="1"/>
  <c r="G109" i="1"/>
  <c r="G142" i="1"/>
  <c r="G177" i="1"/>
  <c r="G242" i="1"/>
  <c r="G342" i="1"/>
  <c r="G385" i="1"/>
  <c r="I390" i="1"/>
  <c r="I434" i="1" s="1"/>
  <c r="G458" i="1"/>
  <c r="I457" i="1"/>
  <c r="I458" i="1" s="1"/>
  <c r="G503" i="1"/>
  <c r="I574" i="1"/>
  <c r="I51" i="1"/>
  <c r="I142" i="1"/>
  <c r="I177" i="1"/>
  <c r="I342" i="1"/>
  <c r="I109" i="1"/>
  <c r="I242" i="1"/>
  <c r="H458" i="1"/>
  <c r="I249" i="1"/>
  <c r="I293" i="1" s="1"/>
  <c r="I349" i="1"/>
  <c r="I385" i="1" s="1"/>
  <c r="I464" i="1"/>
  <c r="I503" i="1" s="1"/>
</calcChain>
</file>

<file path=xl/sharedStrings.xml><?xml version="1.0" encoding="utf-8"?>
<sst xmlns="http://schemas.openxmlformats.org/spreadsheetml/2006/main" count="1762" uniqueCount="699">
  <si>
    <t>FEE RECEIVABLE</t>
  </si>
  <si>
    <t>HOLY-WOOD ACADEMY (TRANSPORTS 26-27)</t>
  </si>
  <si>
    <t>1-Apr-2026 to 31-Mar-2027</t>
  </si>
  <si>
    <t>Sr. No.</t>
  </si>
  <si>
    <t>Name of Students</t>
  </si>
  <si>
    <t>Class</t>
  </si>
  <si>
    <t>Old Bus Fees</t>
  </si>
  <si>
    <t>Currents Bus Fees</t>
  </si>
  <si>
    <t>Discount Amount</t>
  </si>
  <si>
    <t>Total Amount</t>
  </si>
  <si>
    <t xml:space="preserve">Paid </t>
  </si>
  <si>
    <t>Unpaid Fees</t>
  </si>
  <si>
    <t>Bus No.</t>
  </si>
  <si>
    <t>Pick-Up Point</t>
  </si>
  <si>
    <t>NIL</t>
  </si>
  <si>
    <t xml:space="preserve">DIVYA UMESH NIKAM  </t>
  </si>
  <si>
    <t>Class - 6th</t>
  </si>
  <si>
    <t>AMBAVADE</t>
  </si>
  <si>
    <t xml:space="preserve">DIVYANSH UMESH NIKAM  </t>
  </si>
  <si>
    <t>Class - 2nd</t>
  </si>
  <si>
    <t xml:space="preserve">ERA RAJ PATIL  </t>
  </si>
  <si>
    <t>Class - 3rd</t>
  </si>
  <si>
    <t xml:space="preserve">RUGVED RAJ PATIL  </t>
  </si>
  <si>
    <t xml:space="preserve">VEDIKA UMESH NIKAM  </t>
  </si>
  <si>
    <t>Class - 10th</t>
  </si>
  <si>
    <t xml:space="preserve">NIDHI RAVINDRA BENDRE  </t>
  </si>
  <si>
    <t>Class - 7th</t>
  </si>
  <si>
    <t>BAMBAVADE</t>
  </si>
  <si>
    <t xml:space="preserve">PARIDNYA KETAN KORE  </t>
  </si>
  <si>
    <t>Class - 8th</t>
  </si>
  <si>
    <t xml:space="preserve">VRITIKA SWAPNIL LAD  </t>
  </si>
  <si>
    <t>Class - 5th</t>
  </si>
  <si>
    <t>OMKAR TANAJI BHAKARE</t>
  </si>
  <si>
    <t>Class - 9th</t>
  </si>
  <si>
    <t>BAMBAWADE</t>
  </si>
  <si>
    <t>AAYUSH SACHIN JADHAV</t>
  </si>
  <si>
    <t>DHABDHABEWADI</t>
  </si>
  <si>
    <t xml:space="preserve">AKSHARA RAHUL PATIL  </t>
  </si>
  <si>
    <t>ARAV AJIT PATIL</t>
  </si>
  <si>
    <t xml:space="preserve">AVANI BHARAT KHOPKAR  </t>
  </si>
  <si>
    <t>PRAJWAL DHANAJI SASWADE</t>
  </si>
  <si>
    <t xml:space="preserve">SAKSHAM AMOL KHOPKAR  </t>
  </si>
  <si>
    <t>SHIVTEJ MAHESH KHOPKAR</t>
  </si>
  <si>
    <t>Class - 1st</t>
  </si>
  <si>
    <t>SHREETEJ BABASO KHOPAKAR</t>
  </si>
  <si>
    <t>TANMAY DHANAJI KHOPKAR</t>
  </si>
  <si>
    <t>TANVI DHANAJI KHOPKAR</t>
  </si>
  <si>
    <t>Class - 4th</t>
  </si>
  <si>
    <t xml:space="preserve">VEDANT YUVRAJ KHOPKAR  </t>
  </si>
  <si>
    <t>SANAVI GORAKSHA SHELAKE</t>
  </si>
  <si>
    <t>DONOLI</t>
  </si>
  <si>
    <t>SARTHAK GORAKSH SHELAKE</t>
  </si>
  <si>
    <t xml:space="preserve">YUG HRISHIKESH LAD  </t>
  </si>
  <si>
    <t>RAJVEER ANKUSH NANGARE</t>
  </si>
  <si>
    <t>GOGAVE</t>
  </si>
  <si>
    <t xml:space="preserve">SAMARTH MILIND PATIL  </t>
  </si>
  <si>
    <t>NAVALI</t>
  </si>
  <si>
    <t>SHIVANSH AMIT SARATE</t>
  </si>
  <si>
    <t>AARUSH ATUL KHOT</t>
  </si>
  <si>
    <t>NIKAMWADI</t>
  </si>
  <si>
    <t xml:space="preserve">ADARSH SANDEEP PATIL  </t>
  </si>
  <si>
    <t xml:space="preserve">INDRAJEET SANDEEP PATIL  </t>
  </si>
  <si>
    <t xml:space="preserve">ISHAN MAHESH KHOT  </t>
  </si>
  <si>
    <t>JANHAVI DATTATRAY HUJARE</t>
  </si>
  <si>
    <t>PRANIT DATTATRAY NIKAM</t>
  </si>
  <si>
    <t>PRATHAMESH PRAVIN KHOT</t>
  </si>
  <si>
    <t>SHIVANYA PRADEEP MANE</t>
  </si>
  <si>
    <t>VEDANT AMOL KHOT</t>
  </si>
  <si>
    <t>PRIYANSHI AMARSINH SALAVI</t>
  </si>
  <si>
    <t>RAKSHI</t>
  </si>
  <si>
    <t>RIDDHI VIJAYKUMAR NIRUKHE</t>
  </si>
  <si>
    <t>SIDDHI VIJAYKUMAR NIRUKHE</t>
  </si>
  <si>
    <t>SWARA SANDIP NIRUKHE</t>
  </si>
  <si>
    <t xml:space="preserve">VIGHNESH VIJAYKUMAR NIRUKHE  </t>
  </si>
  <si>
    <t>YUVANSH VAIBHAV PHALAKE</t>
  </si>
  <si>
    <t>Class - UKG</t>
  </si>
  <si>
    <t>ARAV SUNIL BANDGAR</t>
  </si>
  <si>
    <t>SARUD</t>
  </si>
  <si>
    <t xml:space="preserve">INDRANIL SACHIN HAJARE </t>
  </si>
  <si>
    <t xml:space="preserve">AYUSH AMOL PATIL  </t>
  </si>
  <si>
    <t>SHIMPE</t>
  </si>
  <si>
    <t>VIRAJ ASHOK PATIL</t>
  </si>
  <si>
    <t>RUGVED VIJAY DAVANG</t>
  </si>
  <si>
    <t xml:space="preserve">WADICHARAN </t>
  </si>
  <si>
    <t>AARADHYA AMOL PATIL</t>
  </si>
  <si>
    <t>PORLE</t>
  </si>
  <si>
    <t>RUGVED VIKAS KHAVARE</t>
  </si>
  <si>
    <t xml:space="preserve">AARAV AMOL MANE  </t>
  </si>
  <si>
    <t>WAGHAVE</t>
  </si>
  <si>
    <t xml:space="preserve">AARAV AMOL PATIL  </t>
  </si>
  <si>
    <t xml:space="preserve">ADITYA KARAN GHOLAPE  </t>
  </si>
  <si>
    <t xml:space="preserve">AMAN ANAND OJHA  </t>
  </si>
  <si>
    <t xml:space="preserve">ANSHIKA AMOL POWAR </t>
  </si>
  <si>
    <t>Class - LKG</t>
  </si>
  <si>
    <t xml:space="preserve">ANUSHKA RAMDHYAN YADAV  </t>
  </si>
  <si>
    <t xml:space="preserve">ARYA VILAS ANKURKAR  </t>
  </si>
  <si>
    <t>PORLE-KARKHANA</t>
  </si>
  <si>
    <t xml:space="preserve">ASTHA SATENDRA YADAV  </t>
  </si>
  <si>
    <t xml:space="preserve">AYUSH SHIVAJI KAMBLE  </t>
  </si>
  <si>
    <t xml:space="preserve">AYUSHI DHIRAJKUMAR SINGH  </t>
  </si>
  <si>
    <t>CHARUJIT MILIND SATHE</t>
  </si>
  <si>
    <t>DAKSHAVEER SANJAY PATIL</t>
  </si>
  <si>
    <t xml:space="preserve">DARSHA RAJU CHAVAREKAR  </t>
  </si>
  <si>
    <t>DHRUV SANDIP TAMBAVEKAR</t>
  </si>
  <si>
    <t>GOVIND RAJU PRAJAPATI</t>
  </si>
  <si>
    <t xml:space="preserve">GURUNATH SATISH PATIL  </t>
  </si>
  <si>
    <t>HARSHAL MADHUKAR PATIL</t>
  </si>
  <si>
    <t>HARSHIDA RAMPAL PARMAR</t>
  </si>
  <si>
    <t>MAHIRA ASHIP PENDHARI</t>
  </si>
  <si>
    <t xml:space="preserve">MANAS RAKESH BHOSALE  </t>
  </si>
  <si>
    <t>KERLE</t>
  </si>
  <si>
    <t>MANUPRATAP SINGH RAMPAL SINGH PARMAR</t>
  </si>
  <si>
    <t xml:space="preserve">OM PRAKASH PATIL  </t>
  </si>
  <si>
    <t xml:space="preserve">PARINEETA UDAY PATIL  </t>
  </si>
  <si>
    <t>PRACHI VIKAS PATIL</t>
  </si>
  <si>
    <t>PRANALI NANDKUMAR KAMBLE</t>
  </si>
  <si>
    <t xml:space="preserve">PRANAV NANDKUMAR KAMBLE  </t>
  </si>
  <si>
    <t xml:space="preserve">PRANITI RAMESH PATIL  </t>
  </si>
  <si>
    <t>PRANJALI SUDHIR BUGALE</t>
  </si>
  <si>
    <t>KODOLI</t>
  </si>
  <si>
    <t>RAJVIKA SATISH PATIL</t>
  </si>
  <si>
    <t xml:space="preserve">RIYOG YOGRAJ CHOPADE  </t>
  </si>
  <si>
    <t xml:space="preserve">SAIRAJ SHRIRAM SHELAR  </t>
  </si>
  <si>
    <t>SAMIKSHA VIKAS PATIL</t>
  </si>
  <si>
    <t xml:space="preserve">SAMRUDHI SAGAR PATIL  </t>
  </si>
  <si>
    <t>SANCHIT BALASAB NADATTI</t>
  </si>
  <si>
    <t xml:space="preserve">SANSKRUTI DILIP PATIL  </t>
  </si>
  <si>
    <t xml:space="preserve">SHARVIL SHIVAJI PATIL  </t>
  </si>
  <si>
    <t>SHIVANSH SACHIN CHECHAR</t>
  </si>
  <si>
    <t xml:space="preserve">SHIVANSHU BAJIRAO PATIL  </t>
  </si>
  <si>
    <t>SHLOK HEMANT VIBHUTE</t>
  </si>
  <si>
    <t xml:space="preserve">SHOURYA SANDEEP KAMBLE  </t>
  </si>
  <si>
    <t>UTRE</t>
  </si>
  <si>
    <t>SHRAVANI PANDIT KUMBHAR</t>
  </si>
  <si>
    <t>SHREEDEEP JAYDEEP CHOUGULE</t>
  </si>
  <si>
    <t xml:space="preserve">SHRITEJ VINAYAK SHELAR  </t>
  </si>
  <si>
    <t>SHRIVARDHAN JAYSING PATIL</t>
  </si>
  <si>
    <t xml:space="preserve">TAHEMINA FATEMA MOHSEEN SHAIKH  </t>
  </si>
  <si>
    <t>TANAY RAVINDRA POWAR</t>
  </si>
  <si>
    <t xml:space="preserve">TANISH RAVINDRA POWAR  </t>
  </si>
  <si>
    <t>VASUNDHARA MAOJKUMAR YADAV</t>
  </si>
  <si>
    <t>VEDANT PANDURANG MAGDUM</t>
  </si>
  <si>
    <t xml:space="preserve">VIRAJ SAGAR CHOPADE </t>
  </si>
  <si>
    <t>VRUSHANK AMIT PATIL</t>
  </si>
  <si>
    <t xml:space="preserve">ADESH KRUSHNAT SURVE  </t>
  </si>
  <si>
    <t>BUDHWARPETH</t>
  </si>
  <si>
    <t xml:space="preserve">AJINKYA SANDIP SURVE  </t>
  </si>
  <si>
    <t>BUDHWAR PETH</t>
  </si>
  <si>
    <t xml:space="preserve">ANUSHKA ABHIJEET PATIL  </t>
  </si>
  <si>
    <t>APATI</t>
  </si>
  <si>
    <t xml:space="preserve">ARADHYA AJIT PHALAKE  </t>
  </si>
  <si>
    <t xml:space="preserve">ARNAV MANIK TORASKAR  </t>
  </si>
  <si>
    <t xml:space="preserve">ARNAVI TULSIDAS SALAVI  </t>
  </si>
  <si>
    <t>ARYAN PRALHAD KUMBHAR</t>
  </si>
  <si>
    <t>NEBAPUR</t>
  </si>
  <si>
    <t xml:space="preserve">ASHANEE MILIND VHATKAR  </t>
  </si>
  <si>
    <t>BHUVAN TUSHAR GIRIGOSAVI</t>
  </si>
  <si>
    <t xml:space="preserve">HARSHVARDHAN SAGAR DHUMAL  </t>
  </si>
  <si>
    <t xml:space="preserve">JANHAVI TULSIDAS SALAVI  </t>
  </si>
  <si>
    <t>MALIK JAMEER ATTAR</t>
  </si>
  <si>
    <t xml:space="preserve">OMKAR MILIND VHATKAR  </t>
  </si>
  <si>
    <t xml:space="preserve">PRANIL PRADEEP PATIL  </t>
  </si>
  <si>
    <t>JEUR</t>
  </si>
  <si>
    <t xml:space="preserve">PRANITI AJIT PHALAKE  </t>
  </si>
  <si>
    <t>PRANJAL DHANAJI KHOT</t>
  </si>
  <si>
    <t>VEKHANDWADI</t>
  </si>
  <si>
    <t xml:space="preserve">PRANJAL VIJAY POWAR  </t>
  </si>
  <si>
    <t>RAI TUSHAR GIRIGOSAVI</t>
  </si>
  <si>
    <t xml:space="preserve">RAJAVI RAJENDRA KAMBLE  </t>
  </si>
  <si>
    <t>REYANSH DEEPAK SHIPUGADE</t>
  </si>
  <si>
    <t>BAMBARWADI</t>
  </si>
  <si>
    <t>RIYA RAJENDRA KAMBLE</t>
  </si>
  <si>
    <t>RUDRA ANIL POWAR</t>
  </si>
  <si>
    <t>JAGDALEWADI</t>
  </si>
  <si>
    <t xml:space="preserve">SHIVAM SANDIP SURVE  </t>
  </si>
  <si>
    <t>SHIVANSH ANIKET KAMBLE</t>
  </si>
  <si>
    <t xml:space="preserve">SHIVANSH VIJAY POWAR  </t>
  </si>
  <si>
    <t xml:space="preserve">SHREYASH SAMBHAJI KHOT  </t>
  </si>
  <si>
    <t>SWARALI PRAMOD FALLE</t>
  </si>
  <si>
    <t>YASHRAJ RANJEET PATIL</t>
  </si>
  <si>
    <t>AARADHY PRAVIN PATIL</t>
  </si>
  <si>
    <t>MAJNAL</t>
  </si>
  <si>
    <t>AARYA SURESH NIKAM</t>
  </si>
  <si>
    <t>GHARPAN</t>
  </si>
  <si>
    <t>AMEY AMAR VARUTE</t>
  </si>
  <si>
    <t>KALE</t>
  </si>
  <si>
    <t xml:space="preserve">ANVESHA KULDEEP KHADE </t>
  </si>
  <si>
    <t>KUDITRE KARKHANA</t>
  </si>
  <si>
    <t>ARADHY MADHAV KAMBLE</t>
  </si>
  <si>
    <t>SWAMINI SUDARSHAN PATIL</t>
  </si>
  <si>
    <t>5000</t>
  </si>
  <si>
    <t>MALHARPETH</t>
  </si>
  <si>
    <t>AYUSH KRISHNAT PATIL</t>
  </si>
  <si>
    <t>Class - 12th</t>
  </si>
  <si>
    <t>GAJLAXMI DEEPAK BALAVATKAR</t>
  </si>
  <si>
    <t>KARTAR KRISHNAT PATIL</t>
  </si>
  <si>
    <t xml:space="preserve">MLHARPETH TRF SAVARDE </t>
  </si>
  <si>
    <t>KSHITIJ NIRANJAN KALEKAR</t>
  </si>
  <si>
    <t>NEERGUN SHAHAJI PATIL</t>
  </si>
  <si>
    <t>SHLOK SHAHAJI PATIL</t>
  </si>
  <si>
    <t>KUNAL KRISHNAT CHOUGALE</t>
  </si>
  <si>
    <t>MOHIT AVIRAJ VARUTE</t>
  </si>
  <si>
    <t>MUKTA MAHADEV JAGTAP</t>
  </si>
  <si>
    <t>NEEL RAJENDRA DESAI</t>
  </si>
  <si>
    <t>RAJVARDHAN KEDAR PATIL</t>
  </si>
  <si>
    <t>RAJVEER SURAJ KALIKATE</t>
  </si>
  <si>
    <t>RUDRA RANJEET MAGDUM</t>
  </si>
  <si>
    <t>SAMARTH MAHADEV PATIL</t>
  </si>
  <si>
    <t>SAMARTH SACHIN DESAI</t>
  </si>
  <si>
    <t>SARTH DIPAK MOLE</t>
  </si>
  <si>
    <t>SARVADNYA RANJEET RASAL</t>
  </si>
  <si>
    <t>PUNAL</t>
  </si>
  <si>
    <t>SARVESH AMAR KALEKAR</t>
  </si>
  <si>
    <t>SHARVARI RAVINDRA KUMBHAR</t>
  </si>
  <si>
    <t>SHIVAMSINH VISHWAS DESAI</t>
  </si>
  <si>
    <t>SOHAM RANJEET RASAL</t>
  </si>
  <si>
    <t>VARAD RAMCHANDRA NIKAM</t>
  </si>
  <si>
    <t>VIGHNESH RAHUL PATIL</t>
  </si>
  <si>
    <t>YASH GAJANAN BHOPALE</t>
  </si>
  <si>
    <t>AADYA PRADIP CHOUGALE</t>
  </si>
  <si>
    <t>KOTOLI</t>
  </si>
  <si>
    <t>SWAROOP NANDKUMAR KUMBHAR</t>
  </si>
  <si>
    <t>TIRPAN</t>
  </si>
  <si>
    <t>VEDIKA NANDKUMAR KUMBHAR</t>
  </si>
  <si>
    <t>AARADHYA ANIL GAIKWAD</t>
  </si>
  <si>
    <t>MALWADI</t>
  </si>
  <si>
    <t xml:space="preserve">AARADHYA SAGAR JATHAR   </t>
  </si>
  <si>
    <t xml:space="preserve">AAYUSH SAGAR JATHAR  </t>
  </si>
  <si>
    <t xml:space="preserve">ADHIRAJ PRASHANT PATIL  </t>
  </si>
  <si>
    <t xml:space="preserve">ADITI ARVIND KHOT  </t>
  </si>
  <si>
    <t xml:space="preserve">ANIRUDDHA ARVIND GAIKWAD  </t>
  </si>
  <si>
    <t>ANSHUMAN ANIL GAIKWAD</t>
  </si>
  <si>
    <t xml:space="preserve">ANUSHKA RAMCHANDRA GURAV  </t>
  </si>
  <si>
    <t xml:space="preserve">ARUSH RAHUL AMBUPE  </t>
  </si>
  <si>
    <t xml:space="preserve">ATHARAV SHRIHARI MENGANE  </t>
  </si>
  <si>
    <t>AVADHUT RAMCHANDRA GURAV</t>
  </si>
  <si>
    <t>AVIGHNA SURESH GARADE</t>
  </si>
  <si>
    <t>DHRUV SACHIN SAVANT</t>
  </si>
  <si>
    <t xml:space="preserve">DURVA SAGAR KHOT  </t>
  </si>
  <si>
    <t>JESSICA VIJAY SAVANT</t>
  </si>
  <si>
    <t>MAYUR ANANDA KALEKAR</t>
  </si>
  <si>
    <t xml:space="preserve">NISHAD KABIR NAIKNAWARE  </t>
  </si>
  <si>
    <t>SHIVAJI PUL/KOTOLI</t>
  </si>
  <si>
    <t>PAVITRA SANDIP GURAV</t>
  </si>
  <si>
    <t>PRACHI DEEPAK PATIL</t>
  </si>
  <si>
    <t>PRADYUMN SUSHILKUMAR SHETE</t>
  </si>
  <si>
    <t>SHELARWADI</t>
  </si>
  <si>
    <t>PRAJWAL PRAVINSINH PATIL</t>
  </si>
  <si>
    <t>PRATHAMESH RAJARAM KHOT</t>
  </si>
  <si>
    <t>PREMRAJ PRAVIN KHOT</t>
  </si>
  <si>
    <t>PRIYDARSH KABIR NAIKNAWARE</t>
  </si>
  <si>
    <t>RAJLAXMI PRASHNAT PATIL</t>
  </si>
  <si>
    <t xml:space="preserve">RAJVAIBHAV NITIN MASKAR  </t>
  </si>
  <si>
    <t xml:space="preserve">RAJVEER UMESH PATIL (SM)  </t>
  </si>
  <si>
    <t>RUDRA MANSING KHOT</t>
  </si>
  <si>
    <t>RUDRANSH SUNIL MASKAR</t>
  </si>
  <si>
    <t xml:space="preserve">SAIRAJ ABHIJEET SARNOBAT  </t>
  </si>
  <si>
    <t xml:space="preserve">SAMARTHRAJ ABHIJEET SARNOBAT  </t>
  </si>
  <si>
    <t xml:space="preserve">SHARVIL ONKAR KULKARNI  </t>
  </si>
  <si>
    <t>DIGAVADE</t>
  </si>
  <si>
    <t>SHARVIL UMESH PATIL</t>
  </si>
  <si>
    <t>SHAURYA SUNIL MASKAR</t>
  </si>
  <si>
    <t>SHIVAM SAGAR KHOT</t>
  </si>
  <si>
    <t xml:space="preserve">SHIVANSH SANTOSH JANGAM  </t>
  </si>
  <si>
    <t>SHIVANSH SUNIL PATIL</t>
  </si>
  <si>
    <t>SHLOK SATISH DABHADE</t>
  </si>
  <si>
    <t>SHOURYA BHARAT CHOUGALE</t>
  </si>
  <si>
    <t>SHOURYA GANESH PATIL</t>
  </si>
  <si>
    <t>SHOURYA SATISH DABHADE</t>
  </si>
  <si>
    <t xml:space="preserve">SHRAVANI SANGRAM PATIL  </t>
  </si>
  <si>
    <t>SHREYAS DEEPAK KHANDEKAR</t>
  </si>
  <si>
    <t>SHRIDARSHAN DATTATRAY KHOT</t>
  </si>
  <si>
    <t>STEPHEN AJIT SAWANT</t>
  </si>
  <si>
    <t xml:space="preserve">SWANAND SWARUP MANE  </t>
  </si>
  <si>
    <t>TRISHA TUSHAR GHORPADE</t>
  </si>
  <si>
    <t xml:space="preserve">VARAD PRAVIN GHUGARE  </t>
  </si>
  <si>
    <t>SHIVANSH JALINDAR</t>
  </si>
  <si>
    <t xml:space="preserve">VEER VISHAL KHOT  </t>
  </si>
  <si>
    <t xml:space="preserve">VIGHNESH SHAHAJI KHOT  </t>
  </si>
  <si>
    <t>VEDANT BHARAT KARALE</t>
  </si>
  <si>
    <t>VIREN LAKHAN SAWANT</t>
  </si>
  <si>
    <t>VRAJ JAYESH PATEL</t>
  </si>
  <si>
    <t>VYANKATESH VINAYAK GANJAVE</t>
  </si>
  <si>
    <t>YASH TUSHAR GHORPADE</t>
  </si>
  <si>
    <t xml:space="preserve">YASHRAJ PRUTHVIRAJ SARNOBAT  </t>
  </si>
  <si>
    <t>AADITI MARUTI PATIL</t>
  </si>
  <si>
    <t>DALAVEWADI</t>
  </si>
  <si>
    <t>AARADHY SHASHIKANT TOPKAR</t>
  </si>
  <si>
    <t>BORGAON</t>
  </si>
  <si>
    <t>AARAV VIKAS PATIL</t>
  </si>
  <si>
    <t xml:space="preserve">NIVADE </t>
  </si>
  <si>
    <t xml:space="preserve">ANANYA SHASHIKANT BHOSALE </t>
  </si>
  <si>
    <t>BANDIVADE</t>
  </si>
  <si>
    <t>SAMARTH SUHAS GOUD</t>
  </si>
  <si>
    <t>CHAVANWADI</t>
  </si>
  <si>
    <t>ANKUSH AKARAM SAVARE</t>
  </si>
  <si>
    <t>GHUNGUR</t>
  </si>
  <si>
    <t>ASMITA ASHOK KAMBLE</t>
  </si>
  <si>
    <t>GHOTAWADE</t>
  </si>
  <si>
    <t>AVNISH SACHIN PATIL</t>
  </si>
  <si>
    <t>TELVE</t>
  </si>
  <si>
    <t xml:space="preserve">AYUSH SAGAR PATIL </t>
  </si>
  <si>
    <t>DEVRAJ SAGAR LAD</t>
  </si>
  <si>
    <t>NANDGAON</t>
  </si>
  <si>
    <t>KARTIK RAHUL YADAV</t>
  </si>
  <si>
    <t>KARTIK SURESH DALAVI</t>
  </si>
  <si>
    <t>RANVIJAY AMAR PATIL</t>
  </si>
  <si>
    <t>KARANJPHEN</t>
  </si>
  <si>
    <t xml:space="preserve">MAULI ABHIMANYU PATIL </t>
  </si>
  <si>
    <t>BANDIWADE</t>
  </si>
  <si>
    <t xml:space="preserve">NIBHA ARUN PATIL </t>
  </si>
  <si>
    <t xml:space="preserve">PRANALI SARDAR GAVALI </t>
  </si>
  <si>
    <t xml:space="preserve">PRANITI DEEPAK PATIL </t>
  </si>
  <si>
    <t>KOLOLI</t>
  </si>
  <si>
    <t>PRATHAMESH PRAKASH DALAVI</t>
  </si>
  <si>
    <t>PRATIK YUVRAJ PATIL</t>
  </si>
  <si>
    <t xml:space="preserve">PUSHPRAJ DHANAJI KUMBHAR </t>
  </si>
  <si>
    <t>KOLOLI-KHIND</t>
  </si>
  <si>
    <t>RANVEER VIKAS DALAVI</t>
  </si>
  <si>
    <t>RUGVED VIKRAM GURAV</t>
  </si>
  <si>
    <t xml:space="preserve">SAIRAJ NILESH PATIL </t>
  </si>
  <si>
    <t xml:space="preserve">SAMARTH RANJEET INGALE </t>
  </si>
  <si>
    <t xml:space="preserve">SARTHAK SANDEEP GAVALI </t>
  </si>
  <si>
    <t>SHARAVANI YUVRAJ CHAVAN</t>
  </si>
  <si>
    <t>NIVADE</t>
  </si>
  <si>
    <t>SHARVIL NITIN YADAV</t>
  </si>
  <si>
    <t>UNDRI</t>
  </si>
  <si>
    <t xml:space="preserve">SHARYU BHAGVAN PATIL </t>
  </si>
  <si>
    <t>SHIVAM SAGAR SAVEKAR</t>
  </si>
  <si>
    <t>SHIVANSH SAGAR SAVANT</t>
  </si>
  <si>
    <t>BORGAON PHATA</t>
  </si>
  <si>
    <t>SHIVTEJ BAJIRAO PATIL</t>
  </si>
  <si>
    <t>NANUNDRE</t>
  </si>
  <si>
    <t>SHIVTEJ SANJAY PATIL</t>
  </si>
  <si>
    <t>PARALI</t>
  </si>
  <si>
    <t>SHLOK BHAGWAN KAMBLE</t>
  </si>
  <si>
    <t xml:space="preserve">SHOURYA SURESH DALAVI </t>
  </si>
  <si>
    <t xml:space="preserve">SHRUTIKA DHANAJI KUMBHAR </t>
  </si>
  <si>
    <t>SIDDHI SHIVAJI LAVHATE</t>
  </si>
  <si>
    <t xml:space="preserve">SNEHAL BAJIRAO PATIL </t>
  </si>
  <si>
    <t>SUJAL SARJERAO CHOUGALE</t>
  </si>
  <si>
    <t xml:space="preserve">SURAJ SAGAR SAVEKAR </t>
  </si>
  <si>
    <t xml:space="preserve">SWARAJ RAHUL YADAV </t>
  </si>
  <si>
    <t>SWARAJ VISHAL BHOSALE</t>
  </si>
  <si>
    <t xml:space="preserve">TANVI ABHIMANU PATIL </t>
  </si>
  <si>
    <t xml:space="preserve">VEDRAJ YUVRAJ CHAVAN </t>
  </si>
  <si>
    <t>VIBHAVARI PRAVIN PATIL</t>
  </si>
  <si>
    <t>VIGHNESH KIRAN PATIL</t>
  </si>
  <si>
    <t xml:space="preserve">VIRAT DATTATRAY GAVALI </t>
  </si>
  <si>
    <t xml:space="preserve">AARADHYA KARANSINH SARNOBAT </t>
  </si>
  <si>
    <t>ASURLE</t>
  </si>
  <si>
    <t>AAROHI DATTATRAY PATIL</t>
  </si>
  <si>
    <t xml:space="preserve">ABHINANDAN AMARSIGH KAMBLE </t>
  </si>
  <si>
    <t>KASABA THANE</t>
  </si>
  <si>
    <t xml:space="preserve">ANSHRAJ SHASHIKANT KAMBLE </t>
  </si>
  <si>
    <t>ANUSHKA YUVRAJ GHATAGE</t>
  </si>
  <si>
    <t>KOTOLI-PHATA</t>
  </si>
  <si>
    <t>ARADHYA NANA MANE</t>
  </si>
  <si>
    <t>AROHI RUSHIKESH DEVEKAR</t>
  </si>
  <si>
    <t>YEVLUJ</t>
  </si>
  <si>
    <t>ARYAN NANDKUMAR PATIL</t>
  </si>
  <si>
    <t xml:space="preserve">ASHWAGANDHA DEEPAK BORAGE </t>
  </si>
  <si>
    <t xml:space="preserve">ASHWATEJA VINOD PADAVAL </t>
  </si>
  <si>
    <t>PADAVALWADI</t>
  </si>
  <si>
    <t xml:space="preserve">ATHARAV AMOL CHOUGALE </t>
  </si>
  <si>
    <t>MAJGAON</t>
  </si>
  <si>
    <t xml:space="preserve">ATHARAV SANDEEP SALOKHE </t>
  </si>
  <si>
    <t>MAHADIKWADI</t>
  </si>
  <si>
    <t>AVISHKAR LAXMAN JADHAV</t>
  </si>
  <si>
    <t>ASURLE-KARKHANA</t>
  </si>
  <si>
    <t>CHINMAY AMIT MEDSING</t>
  </si>
  <si>
    <t xml:space="preserve">GARGI AMIT BHOSALE </t>
  </si>
  <si>
    <t>KARTIKI OMKAR RANDIVE</t>
  </si>
  <si>
    <t>KHOTWADIGAON</t>
  </si>
  <si>
    <t xml:space="preserve">MANASVI MAHADEV CHOUGULE </t>
  </si>
  <si>
    <t xml:space="preserve">MANASVI PRAVIN PATIL </t>
  </si>
  <si>
    <t xml:space="preserve">MOHIT BHAGWAN SHIRKE </t>
  </si>
  <si>
    <t>PRANJAL PRAMOD PATIL</t>
  </si>
  <si>
    <t>PUSHIRE</t>
  </si>
  <si>
    <t>RAJVEER SANDIP PATIL</t>
  </si>
  <si>
    <t>MHALUNGE</t>
  </si>
  <si>
    <t xml:space="preserve">RAJVEER SUBHASH DESAI </t>
  </si>
  <si>
    <t>DEVTHANE</t>
  </si>
  <si>
    <t>RUDRA PANDURANG PATIL</t>
  </si>
  <si>
    <t xml:space="preserve">RUDRA PRAVIN PATIL </t>
  </si>
  <si>
    <t xml:space="preserve">RUDRAKSH VIKAS ATIGRE </t>
  </si>
  <si>
    <t>RUDRAYANI DATTATRAY PATIL</t>
  </si>
  <si>
    <t>RUGVED AMOL CHOUGALE</t>
  </si>
  <si>
    <t>SAEE RAVI PAWAR</t>
  </si>
  <si>
    <t>SAIRAJ GANPATI PATIL</t>
  </si>
  <si>
    <t>SAIRAJ TANAJI PATIL</t>
  </si>
  <si>
    <t xml:space="preserve">SAISHWARI VIKAS ATIGRE </t>
  </si>
  <si>
    <t>SAMARTH SARJERAO GOUD</t>
  </si>
  <si>
    <t>KHOTWADI</t>
  </si>
  <si>
    <t>SAMARTH SUHAS MAHADIK</t>
  </si>
  <si>
    <t>MAHADIKWADI-PHATA</t>
  </si>
  <si>
    <t xml:space="preserve">SANSKRUTI SURESH SURVE </t>
  </si>
  <si>
    <t>SHIVAM UTTAM MAHADIK</t>
  </si>
  <si>
    <t>SHOURY AVINASH MAHADIK</t>
  </si>
  <si>
    <t xml:space="preserve">SHOURYA PARSHURAM JADHAV </t>
  </si>
  <si>
    <t>SHOURYA YOGIRAJ POWAR</t>
  </si>
  <si>
    <t xml:space="preserve">SHRITEJ NILESH MEDSING </t>
  </si>
  <si>
    <t xml:space="preserve">SUCHETA ARUN PATIL  </t>
  </si>
  <si>
    <t xml:space="preserve">TANISHK PANDURANG JADHAV </t>
  </si>
  <si>
    <t>VIRAJ KRISHNAT PATIL</t>
  </si>
  <si>
    <t xml:space="preserve">VIRAT BHARATRATNA CHOUGALE </t>
  </si>
  <si>
    <t xml:space="preserve">YUGANK AMIT BHOSALE </t>
  </si>
  <si>
    <t xml:space="preserve">ANUSHKA VISHWAS PATIL  </t>
  </si>
  <si>
    <t>ALAVE</t>
  </si>
  <si>
    <t>ARYAN SHRIKANT PATIL</t>
  </si>
  <si>
    <t>PIMPALE</t>
  </si>
  <si>
    <t>ATHARAV JAYSING KAMBLE</t>
  </si>
  <si>
    <t>INJOLE</t>
  </si>
  <si>
    <t>AYUSH YUVRAJ PATIL</t>
  </si>
  <si>
    <t>CHAITANYA VIKAS PATIL</t>
  </si>
  <si>
    <t xml:space="preserve">CHINMAY UTTAM MANE  </t>
  </si>
  <si>
    <t>MANEWADI</t>
  </si>
  <si>
    <t xml:space="preserve">DEVENDRA KRUSHNAT PATIL  </t>
  </si>
  <si>
    <t>PIMPLE</t>
  </si>
  <si>
    <t xml:space="preserve">DHRUV AJIT MANE  </t>
  </si>
  <si>
    <t>KURADWADI-PHATA</t>
  </si>
  <si>
    <t xml:space="preserve">HARSHADA KRUSHNAT PATIL  </t>
  </si>
  <si>
    <t xml:space="preserve">JITENDRA MAHENDRA PATIL  </t>
  </si>
  <si>
    <t xml:space="preserve">KALYANI KRUSHNA KHOPKAR  </t>
  </si>
  <si>
    <t>BHACHARWADI</t>
  </si>
  <si>
    <t>KARTIKI VAIBHAV PATIL</t>
  </si>
  <si>
    <t xml:space="preserve">MRUNMAYI ARJUN SHINDE  </t>
  </si>
  <si>
    <t xml:space="preserve">NISHANT NITIN PAWAR  </t>
  </si>
  <si>
    <t>OJAS KRISHNAT GAIKWAD</t>
  </si>
  <si>
    <t xml:space="preserve">PARAS RAVINDRA PATIL  </t>
  </si>
  <si>
    <t>PRAJWAL PRAVIN NIKAM</t>
  </si>
  <si>
    <t xml:space="preserve">PRANJAL SUNIL PATIL </t>
  </si>
  <si>
    <t xml:space="preserve">PRITAM MAHESH BORAGE  </t>
  </si>
  <si>
    <t xml:space="preserve">REVATI ASHOK SALOKHE  </t>
  </si>
  <si>
    <t xml:space="preserve">RISHABH SANDIP MANE  </t>
  </si>
  <si>
    <t xml:space="preserve">RUGVED SHRIGANESH BANGE  </t>
  </si>
  <si>
    <t>SAMARJEET PRADEEP MANE</t>
  </si>
  <si>
    <t>SAMARTH KRUSHNA GAIKWAD</t>
  </si>
  <si>
    <t>KHADEKHOL</t>
  </si>
  <si>
    <t xml:space="preserve">SAMARTH TANAJI PATIL  </t>
  </si>
  <si>
    <t xml:space="preserve">SHARVARI SANDEEP SALOKHE </t>
  </si>
  <si>
    <t>SHOURYA NARAYAN KARANDE</t>
  </si>
  <si>
    <t xml:space="preserve">SHREENESH KUNAL VANDRE  </t>
  </si>
  <si>
    <t>SHRISHA SACHIN KONDE</t>
  </si>
  <si>
    <t>SWARAJALI KRUSHNAT KHAMKAR</t>
  </si>
  <si>
    <t xml:space="preserve">SWARANJALI PRADEEP GAVADE  </t>
  </si>
  <si>
    <t>SWARANJALI PRAVIN NIKAM</t>
  </si>
  <si>
    <t xml:space="preserve">TANMAY NAVNATH KAPASE  </t>
  </si>
  <si>
    <t xml:space="preserve">TANMAY TANAJI GAIKWAD  </t>
  </si>
  <si>
    <t>TRISHA KRISHNAT GAIKWAD</t>
  </si>
  <si>
    <t>VARAD GAJANAN GURAV</t>
  </si>
  <si>
    <t>VIGHNESH SHANKAR GAIKWAD</t>
  </si>
  <si>
    <t>YASH RAJENDRA SALOKHE</t>
  </si>
  <si>
    <t xml:space="preserve">AARADHYA SANDIP TODKAR </t>
  </si>
  <si>
    <t>GANGAVESH</t>
  </si>
  <si>
    <t>AARNAV ABHIJEET PAWAR</t>
  </si>
  <si>
    <t>DESAI PUMP</t>
  </si>
  <si>
    <t xml:space="preserve">ABHINAV AVINASH JADHAV </t>
  </si>
  <si>
    <t>NEW WASHI NAKA</t>
  </si>
  <si>
    <t xml:space="preserve">ABHIRATHI ABHIJEET DESHMUKH </t>
  </si>
  <si>
    <t>DATT MANDIR KOTOLI</t>
  </si>
  <si>
    <t>ADITYA NITIN KOLEKAR</t>
  </si>
  <si>
    <t>DASARA CHOWK</t>
  </si>
  <si>
    <t xml:space="preserve">ADVAIT ATUL SAVARATKAR </t>
  </si>
  <si>
    <t>BHOGAM PARK</t>
  </si>
  <si>
    <t xml:space="preserve">AKSHARA AMAR PATIL  </t>
  </si>
  <si>
    <t xml:space="preserve">ANUJ SANDIP KUMBHAR </t>
  </si>
  <si>
    <t>ANVESH AMAR PATIL</t>
  </si>
  <si>
    <t xml:space="preserve">AROHI ATUL SAVARATKAR </t>
  </si>
  <si>
    <t xml:space="preserve">ARUSHI AJIT ATIGRE </t>
  </si>
  <si>
    <t xml:space="preserve">AYUSH ABHIJEET PAWAR  </t>
  </si>
  <si>
    <t>BHARGAVI SACHIN BHOSALE</t>
  </si>
  <si>
    <t>CHAITANYA ABHIJIT SHINDE</t>
  </si>
  <si>
    <t>UMA TALKIES</t>
  </si>
  <si>
    <t>DURVA SURYADEEP PATIL</t>
  </si>
  <si>
    <t>LAKSHTIRTH PHATA</t>
  </si>
  <si>
    <t>KARTIKI BHAIRAVNATH PATIL</t>
  </si>
  <si>
    <t xml:space="preserve">PARIDHI SUNIL GOLE </t>
  </si>
  <si>
    <t xml:space="preserve">PAYAL AABAS DEVKAR </t>
  </si>
  <si>
    <t xml:space="preserve">PRISHA PREMCHAND KAMBLE  </t>
  </si>
  <si>
    <t xml:space="preserve">RAJNANDINI VIJAY PATIL </t>
  </si>
  <si>
    <t>RUCHITA PRAVIN PATIL</t>
  </si>
  <si>
    <t>P.N. PATIL GARAGE</t>
  </si>
  <si>
    <t xml:space="preserve">SAI SANDEEP PATIL </t>
  </si>
  <si>
    <t>SARTHAK PRAKASH NALAWADE</t>
  </si>
  <si>
    <t xml:space="preserve">SARVESH MAHESH NIRUKHE </t>
  </si>
  <si>
    <t>SHARVI SUBHASH CHOUGALE</t>
  </si>
  <si>
    <t>SHIVAJI POOL</t>
  </si>
  <si>
    <t>SHIVANYA TANAJI PISHTE</t>
  </si>
  <si>
    <t xml:space="preserve">SHIVSHANKAR SANDEEP PATIL </t>
  </si>
  <si>
    <t xml:space="preserve">SHOURYA KIRAN MANE </t>
  </si>
  <si>
    <t xml:space="preserve">SHRAVYA SANDEEP SHINDE </t>
  </si>
  <si>
    <t>SHREEJAL SANDEEP SHINDE</t>
  </si>
  <si>
    <t>SHREESHA SAGAR KHOT</t>
  </si>
  <si>
    <t>SHREEYANSH SWAPNIL MORE</t>
  </si>
  <si>
    <t>SHRESHTI SURYADEEP MANE (SM)</t>
  </si>
  <si>
    <t xml:space="preserve">SHREYASH VIJAY PADVAL </t>
  </si>
  <si>
    <t>SHRINIKET SAGAR KHOT</t>
  </si>
  <si>
    <t>SHRIVARDHAN SHASHIKANT MORBALE</t>
  </si>
  <si>
    <t>SIDHANT BHIMRAO PATIL</t>
  </si>
  <si>
    <t xml:space="preserve">SWARA RAMESH DHUMAL </t>
  </si>
  <si>
    <t xml:space="preserve">SWARAJ MUKUND SATHE  </t>
  </si>
  <si>
    <t>BONDRENAGAR</t>
  </si>
  <si>
    <t>SWARAJ SWAPNIL POWAR</t>
  </si>
  <si>
    <t>RANKALA TOWER</t>
  </si>
  <si>
    <t>TANVI VISHAL KAGALE</t>
  </si>
  <si>
    <t xml:space="preserve">VEER VIJAY NALAWADE </t>
  </si>
  <si>
    <t>NALAVADE BANGLA</t>
  </si>
  <si>
    <t>VISHWAJEET PANDIT GOLE (SM)</t>
  </si>
  <si>
    <t>YUVRADNI AJINKYA CHOUGULE</t>
  </si>
  <si>
    <t xml:space="preserve">AADISH YOGESH PATIL </t>
  </si>
  <si>
    <t>DANEWADI</t>
  </si>
  <si>
    <t>AARADHYA YOGESH PATIL</t>
  </si>
  <si>
    <t xml:space="preserve">ANUJA BHAGYAWAN KAMBLE  </t>
  </si>
  <si>
    <t>JAKHALE</t>
  </si>
  <si>
    <t xml:space="preserve">ARUSH SURAJ TANDALE </t>
  </si>
  <si>
    <t>SATYAWATI-COLONY</t>
  </si>
  <si>
    <t xml:space="preserve">ARY VIKRAM GOSAVI </t>
  </si>
  <si>
    <t>HARSHWARDHAN KUBER MANE</t>
  </si>
  <si>
    <t xml:space="preserve">JOTIRAJ DILIP MORE </t>
  </si>
  <si>
    <t>NEW PARGAON</t>
  </si>
  <si>
    <t>MANAS MAHESH SUTAR</t>
  </si>
  <si>
    <t xml:space="preserve">OVI VIKRAM GOSAVI </t>
  </si>
  <si>
    <t>PRADNYESH ARUN BAGADE</t>
  </si>
  <si>
    <t>WARANA</t>
  </si>
  <si>
    <t>PRAJWAL PRASHANT CHAVAN</t>
  </si>
  <si>
    <t xml:space="preserve">PRIYAL BHAGYAWAN KAMBLE  </t>
  </si>
  <si>
    <t xml:space="preserve">RANVEER RAHUL JADHAV </t>
  </si>
  <si>
    <t>BAHIREWADI</t>
  </si>
  <si>
    <t>RUDRA PRAKASH SHINDE</t>
  </si>
  <si>
    <t xml:space="preserve">SAIRAJ RAVINDRA JADHAV </t>
  </si>
  <si>
    <t>SHARVARI AMOL BHOSALE</t>
  </si>
  <si>
    <t>SHIVRATN SAMINDAR MANE</t>
  </si>
  <si>
    <t>SOHAM DEEPAK KHOMANE</t>
  </si>
  <si>
    <t>4391</t>
  </si>
  <si>
    <t>BABUPARK</t>
  </si>
  <si>
    <t>SOHAM SAMEER BHADALEKAR</t>
  </si>
  <si>
    <t>AARADHYA SHRIKANT PATIL</t>
  </si>
  <si>
    <t>RAJPUTWADI</t>
  </si>
  <si>
    <t xml:space="preserve">ADVAIT SUSHIL BAILKAR </t>
  </si>
  <si>
    <t>AARAV SANJAY PATIL</t>
  </si>
  <si>
    <t>NAVIN CHIKHALI</t>
  </si>
  <si>
    <t>ALVEERA JAHANGIR NADAF</t>
  </si>
  <si>
    <t>6500</t>
  </si>
  <si>
    <t xml:space="preserve">ANISH SAGAR KHOT </t>
  </si>
  <si>
    <t>VADANGE</t>
  </si>
  <si>
    <t>ANSH RAVIRAJ CHOUGALE</t>
  </si>
  <si>
    <t>KERLI-GAON</t>
  </si>
  <si>
    <t>ANVI SANGRAM PATHARE</t>
  </si>
  <si>
    <t xml:space="preserve">JOTIBA PHATA </t>
  </si>
  <si>
    <t xml:space="preserve">ARADHYA SAMBHAJI AGALAVE </t>
  </si>
  <si>
    <t>ATHARVA DIGAMBAR KUMBHAR</t>
  </si>
  <si>
    <t>AVANI DIGAMBAR KUMBHAR</t>
  </si>
  <si>
    <t>DEVASHISH RAVIRAJ PATIL</t>
  </si>
  <si>
    <t>DEVRAJ CHINRANJEEV PATIL</t>
  </si>
  <si>
    <t>8250</t>
  </si>
  <si>
    <t>HARSHAL UMESH PHARANE</t>
  </si>
  <si>
    <t xml:space="preserve">HINDAVI MAHESH GHATAGE </t>
  </si>
  <si>
    <t>JAIDALI JAHANGIR NADAF</t>
  </si>
  <si>
    <t xml:space="preserve">JAYESH CHANDRAKANT KOPARDE </t>
  </si>
  <si>
    <t xml:space="preserve">MUGDHA PRAVIN RAJPUT </t>
  </si>
  <si>
    <t xml:space="preserve">PARTH VISHNU THORAT </t>
  </si>
  <si>
    <t xml:space="preserve">RAJDEEP SACHIN POWAR  </t>
  </si>
  <si>
    <t xml:space="preserve">RAJNANDINI SACHIN MALAVI </t>
  </si>
  <si>
    <t>RAJVARDHAN SHIVRAJ PATIL</t>
  </si>
  <si>
    <t xml:space="preserve">RAJVEER SACHIN MALAVI </t>
  </si>
  <si>
    <t xml:space="preserve">RITHVIK SRINU PACHIMATLA </t>
  </si>
  <si>
    <t xml:space="preserve">RUDRAVEER NITIN PATIL </t>
  </si>
  <si>
    <t>SAIRAJ SARDAR MANKAPURE</t>
  </si>
  <si>
    <t>NIGAVE PHATA</t>
  </si>
  <si>
    <t xml:space="preserve">SHANVISRI SRINU PACHIMATLA </t>
  </si>
  <si>
    <t>SHOURY PRASHANT BODAKE</t>
  </si>
  <si>
    <t>SHRENIK DIGVIJAY KARADE</t>
  </si>
  <si>
    <t>SOHAM SANGRAM PATHARE</t>
  </si>
  <si>
    <t>SONITHA SATYANARAYANA PATHIVADA</t>
  </si>
  <si>
    <t xml:space="preserve">SWAROOP KISHOR BAILKAR </t>
  </si>
  <si>
    <t>SWASTIK ANUP DESHMANE</t>
  </si>
  <si>
    <t xml:space="preserve">SWAYAM SHANKAR PARALE </t>
  </si>
  <si>
    <t>TEJ CHETAN VARNE</t>
  </si>
  <si>
    <t>UJJWAL VITTHAL KIDGAONKAR</t>
  </si>
  <si>
    <t>VED UDAYSING PATIL</t>
  </si>
  <si>
    <t>8500</t>
  </si>
  <si>
    <t>VENU SAMBHAJI AGALAVE</t>
  </si>
  <si>
    <t>VIGHNESH VIJAY PATHARE</t>
  </si>
  <si>
    <t xml:space="preserve">VISHWARAJ VISHAL PATHARE </t>
  </si>
  <si>
    <t>YASHVARDHAN VINAYAK SHELAR</t>
  </si>
  <si>
    <t>SANCHITA SUNIL KALEKAR</t>
  </si>
  <si>
    <t>Class - 12th (Passout)</t>
  </si>
  <si>
    <t>ADITYA RAMESH RATHOD</t>
  </si>
  <si>
    <t>PHULEWADI 1st STOP</t>
  </si>
  <si>
    <t>VISHWAJIT ANANDRAO JANAWDKAR</t>
  </si>
  <si>
    <t>ATHARAV SAGAR MANE</t>
  </si>
  <si>
    <t>0</t>
  </si>
  <si>
    <t xml:space="preserve">SWASTIK VISHWAS PATIL </t>
  </si>
  <si>
    <t>Class - 10th (Passout)</t>
  </si>
  <si>
    <t xml:space="preserve">VEDANT SANGRAM PATIL  </t>
  </si>
  <si>
    <t xml:space="preserve">SIDDHARTH PRAKASH JADHAV  </t>
  </si>
  <si>
    <t>SAKSHAM RAVINDRA PATIL (SB)</t>
  </si>
  <si>
    <t xml:space="preserve">AVNEESH SANDEEP KHETAL  </t>
  </si>
  <si>
    <t>TURUKWADI</t>
  </si>
  <si>
    <t xml:space="preserve">TANISHKA TULSIDAS SALVI  </t>
  </si>
  <si>
    <t>SHIVRAJ RAJENDRA KHOT</t>
  </si>
  <si>
    <t xml:space="preserve">ANIKET PARSHURAM KAMBALE </t>
  </si>
  <si>
    <t>GHOTWADE</t>
  </si>
  <si>
    <t xml:space="preserve">SOMNATH AMOL KULKARNI </t>
  </si>
  <si>
    <t xml:space="preserve">SHRAVANI JOTIRAM DALAVI </t>
  </si>
  <si>
    <t xml:space="preserve">SHRIRAJ YUVRAJ POWAR </t>
  </si>
  <si>
    <t>POWARWADI</t>
  </si>
  <si>
    <t xml:space="preserve">MAITRI PRAKASH PATEL </t>
  </si>
  <si>
    <t xml:space="preserve">NAIYA PRAKASH PATEL </t>
  </si>
  <si>
    <t>SOHAM SURESH CHAVAN</t>
  </si>
  <si>
    <t xml:space="preserve">ARJUN YUVRAJ MALI  </t>
  </si>
  <si>
    <t>BALINGA</t>
  </si>
  <si>
    <t>SHINGANAPUR</t>
  </si>
  <si>
    <t xml:space="preserve">NIVEDITA JAYASH GUNDESHA  </t>
  </si>
  <si>
    <t>SANEGURUJI</t>
  </si>
  <si>
    <t xml:space="preserve">VINAYAK JAYASH GUNDESHA </t>
  </si>
  <si>
    <t>CRUSHER CHOWK</t>
  </si>
  <si>
    <t>SHRAVANI JEEVAN MANE (SM)</t>
  </si>
  <si>
    <t xml:space="preserve">ISHAN RAJARAM MOHITE </t>
  </si>
  <si>
    <t>SAEE YOGESH PATIL</t>
  </si>
  <si>
    <t xml:space="preserve">ARJUN AKSHAY GHOGARE </t>
  </si>
  <si>
    <t xml:space="preserve">INDRAYANI AKSHAY GHOGARE </t>
  </si>
  <si>
    <t xml:space="preserve">KAUSTUBH ASHISH GHATGE (SB) </t>
  </si>
  <si>
    <t>SONYA MARUTI CHOWK</t>
  </si>
  <si>
    <t xml:space="preserve">SUMAN MUNNA PRASAD </t>
  </si>
  <si>
    <t xml:space="preserve">NUPUR BABASAHEB KAMBLE </t>
  </si>
  <si>
    <t xml:space="preserve">RUTUJA BABASAHEB KAMBLE </t>
  </si>
  <si>
    <t xml:space="preserve">NIKHIL ANIL PATIL </t>
  </si>
  <si>
    <t xml:space="preserve">PRANALI PRADEEP GHATAGE </t>
  </si>
  <si>
    <t xml:space="preserve">PRANJALI KRISHNAT PATIL </t>
  </si>
  <si>
    <t xml:space="preserve">PREM SANDEEP CHOUGALE </t>
  </si>
  <si>
    <t xml:space="preserve">ASAWARI AMAR PATIL </t>
  </si>
  <si>
    <t xml:space="preserve">JANHAVI JAYVANT PATIL </t>
  </si>
  <si>
    <t xml:space="preserve">MAYANK VISHWAS PATIL </t>
  </si>
  <si>
    <t>POKHALE</t>
  </si>
  <si>
    <t xml:space="preserve">SWATEJ SAINATH NALAVADE </t>
  </si>
  <si>
    <t xml:space="preserve">ANUSHKA BABASAHEB KAMBLE </t>
  </si>
  <si>
    <t xml:space="preserve">SHREYASH JALINDAR GAIKWAD </t>
  </si>
  <si>
    <t xml:space="preserve">OMKAR KIRAN PATIL </t>
  </si>
  <si>
    <t xml:space="preserve">SOHAM SAINATH NALAVADE </t>
  </si>
  <si>
    <t xml:space="preserve">SAKSHI PRADEEP VARMA </t>
  </si>
  <si>
    <t>Class - School Left</t>
  </si>
  <si>
    <t xml:space="preserve">VARAD DATTATRAY GAIKWAD </t>
  </si>
  <si>
    <t xml:space="preserve">MAYUR DNYANDEV MANE </t>
  </si>
  <si>
    <t xml:space="preserve">ANAGHA RUSHIKESH JAGTAP </t>
  </si>
  <si>
    <t xml:space="preserve">VIRAJ ROHIT PATIL </t>
  </si>
  <si>
    <t xml:space="preserve">SAIRAJ SUNIL PATIL </t>
  </si>
  <si>
    <t xml:space="preserve">SWARUPA MADHUKAR PATIL </t>
  </si>
  <si>
    <t xml:space="preserve">GULISTA BADSHAHA PATHAN </t>
  </si>
  <si>
    <t>AMRUTNAGAR</t>
  </si>
  <si>
    <t xml:space="preserve">MANAN BHUPENDRA GANDHI </t>
  </si>
  <si>
    <t>SAKOLI CORNER</t>
  </si>
  <si>
    <t xml:space="preserve">ANUJA ANIL MUDHEKAR (COMMERCE) </t>
  </si>
  <si>
    <t xml:space="preserve">ASAWARI AJIT PATIL (ARTS) </t>
  </si>
  <si>
    <t>SHRI LOWN</t>
  </si>
  <si>
    <t>MH-09-FL-0082</t>
  </si>
  <si>
    <t>BABASO RABADE</t>
  </si>
  <si>
    <t>MH-09-FL-0083</t>
  </si>
  <si>
    <t>RAJARAM POWAR</t>
  </si>
  <si>
    <t>MH-09-CV-0142</t>
  </si>
  <si>
    <t>YUVRAJ PATIL</t>
  </si>
  <si>
    <t>MH-09-CV-0426</t>
  </si>
  <si>
    <t>VIKAS PHALAKE</t>
  </si>
  <si>
    <t>MH-09-CV-0423</t>
  </si>
  <si>
    <t>PRAKASH POWAR</t>
  </si>
  <si>
    <t>MH-09-CV-0699</t>
  </si>
  <si>
    <t>YUVRAJ SHELAR</t>
  </si>
  <si>
    <t>MH-09-GJ-4388</t>
  </si>
  <si>
    <t>RAVINDRA CHOUGULE</t>
  </si>
  <si>
    <t>MH-09-GJ-4389</t>
  </si>
  <si>
    <t>PRAKASH PATIL</t>
  </si>
  <si>
    <t>MH-09-GJ-4390</t>
  </si>
  <si>
    <t>SHANKAR PATIL</t>
  </si>
  <si>
    <t>MH-09-GJ-4391</t>
  </si>
  <si>
    <t>DILIP LINGADE</t>
  </si>
  <si>
    <t>MH-09-GJ-4392</t>
  </si>
  <si>
    <t>KRUSHNAT MANE</t>
  </si>
  <si>
    <t>DRIVER NAME</t>
  </si>
  <si>
    <t>BUS NUMBER</t>
  </si>
  <si>
    <t>BUS ROUTE</t>
  </si>
  <si>
    <t>SAROOD</t>
  </si>
  <si>
    <t>DIGVADE</t>
  </si>
  <si>
    <t>PHULEWADI</t>
  </si>
  <si>
    <t>MOBILE NO.</t>
  </si>
  <si>
    <r>
      <t xml:space="preserve">1-Apr-2026 to 31-Mar-2027 </t>
    </r>
    <r>
      <rPr>
        <b/>
        <sz val="12"/>
        <color theme="1"/>
        <rFont val="Nirmala UI"/>
        <family val="2"/>
      </rPr>
      <t>(SCHOOL LEFT STUDENTS)</t>
    </r>
  </si>
  <si>
    <t xml:space="preserve">ATHARAV RAJENDRA KASHID (SM) </t>
  </si>
  <si>
    <t xml:space="preserve">SHAMBHAVI VISHWNATH SWAMI </t>
  </si>
  <si>
    <t xml:space="preserve">PRATIK RAHUL PATIL </t>
  </si>
  <si>
    <t xml:space="preserve">SHIVRAJ DATTATRAY PATIL </t>
  </si>
  <si>
    <t xml:space="preserve">KETAN LAXMAN BHOSALE </t>
  </si>
  <si>
    <t xml:space="preserve">AVADHUT BHALCHANDRA KOTHEKAR </t>
  </si>
  <si>
    <t xml:space="preserve">SIDDHANT SHASHIKANT SAWANT </t>
  </si>
  <si>
    <t xml:space="preserve">ARTHAV PANDURANG TEVARE </t>
  </si>
  <si>
    <t xml:space="preserve">ADITYA EKNATH KHADE </t>
  </si>
  <si>
    <t xml:space="preserve">HARSH NANDKUMAR JADHAV </t>
  </si>
  <si>
    <t>SANJIVANI DATTATRAY THANEKAR</t>
  </si>
  <si>
    <t xml:space="preserve">GURUPRASAD SHARAD GUJAR </t>
  </si>
  <si>
    <t xml:space="preserve">SAKSHI SARJERAO SHIRKE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</si>
</sst>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.00;[Red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irmala UI"/>
      <family val="2"/>
    </font>
    <font>
      <b/>
      <sz val="12"/>
      <color theme="1"/>
      <name val="Nirmala UI"/>
      <family val="2"/>
    </font>
    <font>
      <sz val="12"/>
      <name val="Nirmala UI"/>
      <family val="2"/>
    </font>
    <font>
      <b/>
      <sz val="12"/>
      <name val="Nirmala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1" fontId="2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9" fontId="2" fillId="0" borderId="0" xfId="0" applyNumberFormat="1" applyFont="1" applyFill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1" fontId="3" fillId="0" borderId="1" xfId="0" applyNumberFormat="1" applyFont="1" applyFill="1" applyBorder="1" applyAlignment="1">
      <alignment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 applyProtection="1">
      <alignment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Fill="1" applyBorder="1" applyAlignment="1" applyProtection="1">
      <alignment horizontal="left" vertical="center"/>
      <protection locked="0"/>
    </xf>
    <xf numFmtId="1" fontId="4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49" fontId="2" fillId="0" borderId="1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/>
    <xf numFmtId="164" fontId="2" fillId="0" borderId="0" xfId="1" applyNumberFormat="1" applyFont="1" applyFill="1"/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left"/>
    </xf>
    <xf numFmtId="0" fontId="3" fillId="0" borderId="1" xfId="0" applyFont="1" applyFill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1" fontId="2" fillId="2" borderId="0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4"/>
  <sheetViews>
    <sheetView tabSelected="1" workbookViewId="0">
      <selection activeCell="B4" sqref="B4"/>
    </sheetView>
  </sheetViews>
  <sheetFormatPr defaultRowHeight="17.25" x14ac:dyDescent="0.3"/>
  <cols>
    <col min="1" max="1" width="8.42578125" style="5" bestFit="1" customWidth="1"/>
    <col min="2" max="2" width="50.85546875" style="5" bestFit="1" customWidth="1"/>
    <col min="3" max="3" width="23.140625" style="5" bestFit="1" customWidth="1"/>
    <col min="4" max="4" width="10.28515625" style="6" bestFit="1" customWidth="1"/>
    <col min="5" max="5" width="10.42578125" style="6" bestFit="1" customWidth="1"/>
    <col min="6" max="6" width="11" style="6" bestFit="1" customWidth="1"/>
    <col min="7" max="7" width="10.28515625" style="6" bestFit="1" customWidth="1"/>
    <col min="8" max="8" width="9" style="6" bestFit="1" customWidth="1"/>
    <col min="9" max="9" width="10.28515625" style="6" bestFit="1" customWidth="1"/>
    <col min="10" max="10" width="9.5703125" style="5" bestFit="1" customWidth="1"/>
    <col min="11" max="11" width="29.7109375" style="5" bestFit="1" customWidth="1"/>
    <col min="12" max="12" width="9.5703125" style="5" customWidth="1"/>
    <col min="13" max="13" width="18.28515625" style="7" bestFit="1" customWidth="1"/>
    <col min="14" max="14" width="25" style="5" bestFit="1" customWidth="1"/>
    <col min="15" max="15" width="14.85546875" style="5" bestFit="1" customWidth="1"/>
    <col min="16" max="16" width="14.5703125" style="5" bestFit="1" customWidth="1"/>
    <col min="17" max="16384" width="9.140625" style="5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6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40.5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26" t="s">
        <v>14</v>
      </c>
    </row>
    <row r="5" spans="1:16" x14ac:dyDescent="0.3">
      <c r="A5" s="4">
        <v>1</v>
      </c>
      <c r="B5" s="30" t="s">
        <v>58</v>
      </c>
      <c r="C5" s="29" t="s">
        <v>21</v>
      </c>
      <c r="D5" s="4">
        <v>0</v>
      </c>
      <c r="E5" s="28">
        <v>9500</v>
      </c>
      <c r="F5" s="4"/>
      <c r="G5" s="13">
        <f>+D5+E5-F5</f>
        <v>9500</v>
      </c>
      <c r="H5" s="4"/>
      <c r="I5" s="3">
        <f>+G5-H5</f>
        <v>9500</v>
      </c>
      <c r="J5" s="4">
        <v>82</v>
      </c>
      <c r="K5" s="30" t="s">
        <v>59</v>
      </c>
      <c r="M5" s="49" t="s">
        <v>679</v>
      </c>
      <c r="N5" s="36" t="s">
        <v>678</v>
      </c>
      <c r="O5" s="36" t="s">
        <v>680</v>
      </c>
      <c r="P5" s="36" t="s">
        <v>684</v>
      </c>
    </row>
    <row r="6" spans="1:16" x14ac:dyDescent="0.3">
      <c r="A6" s="4">
        <v>2</v>
      </c>
      <c r="B6" s="30" t="s">
        <v>35</v>
      </c>
      <c r="C6" s="29" t="s">
        <v>21</v>
      </c>
      <c r="D6" s="10">
        <v>0</v>
      </c>
      <c r="E6" s="28">
        <v>9500</v>
      </c>
      <c r="F6" s="10"/>
      <c r="G6" s="13">
        <f>+D6+E6-F6</f>
        <v>9500</v>
      </c>
      <c r="H6" s="10"/>
      <c r="I6" s="3">
        <f>+G6-H6</f>
        <v>9500</v>
      </c>
      <c r="J6" s="10">
        <v>82</v>
      </c>
      <c r="K6" s="30" t="s">
        <v>36</v>
      </c>
      <c r="M6" s="50" t="s">
        <v>656</v>
      </c>
      <c r="N6" s="51" t="s">
        <v>657</v>
      </c>
      <c r="O6" s="51" t="s">
        <v>681</v>
      </c>
      <c r="P6" s="35">
        <v>9860127879</v>
      </c>
    </row>
    <row r="7" spans="1:16" x14ac:dyDescent="0.3">
      <c r="A7" s="4">
        <v>3</v>
      </c>
      <c r="B7" s="27" t="s">
        <v>60</v>
      </c>
      <c r="C7" s="27" t="s">
        <v>24</v>
      </c>
      <c r="D7" s="4">
        <v>0</v>
      </c>
      <c r="E7" s="28">
        <v>9500</v>
      </c>
      <c r="F7" s="4"/>
      <c r="G7" s="13">
        <f>+D7+E7-F7</f>
        <v>9500</v>
      </c>
      <c r="H7" s="4">
        <v>9500</v>
      </c>
      <c r="I7" s="3">
        <f>+G7-H7</f>
        <v>0</v>
      </c>
      <c r="J7" s="4">
        <v>82</v>
      </c>
      <c r="K7" s="34" t="s">
        <v>59</v>
      </c>
      <c r="M7" s="50" t="s">
        <v>658</v>
      </c>
      <c r="N7" s="51" t="s">
        <v>659</v>
      </c>
      <c r="O7" s="51" t="s">
        <v>88</v>
      </c>
      <c r="P7" s="35">
        <v>9673470808</v>
      </c>
    </row>
    <row r="8" spans="1:16" x14ac:dyDescent="0.3">
      <c r="A8" s="4">
        <v>4</v>
      </c>
      <c r="B8" s="27" t="s">
        <v>37</v>
      </c>
      <c r="C8" s="29" t="s">
        <v>29</v>
      </c>
      <c r="D8" s="9">
        <v>33950</v>
      </c>
      <c r="E8" s="28">
        <v>9500</v>
      </c>
      <c r="F8" s="3"/>
      <c r="G8" s="13">
        <f>+D8+E8-F8</f>
        <v>43450</v>
      </c>
      <c r="H8" s="9"/>
      <c r="I8" s="3">
        <f>+G8-H8</f>
        <v>43450</v>
      </c>
      <c r="J8" s="4">
        <v>82</v>
      </c>
      <c r="K8" s="29" t="s">
        <v>36</v>
      </c>
      <c r="M8" s="50" t="s">
        <v>662</v>
      </c>
      <c r="N8" s="51" t="s">
        <v>663</v>
      </c>
      <c r="O8" s="51" t="s">
        <v>162</v>
      </c>
      <c r="P8" s="35">
        <v>8407931991</v>
      </c>
    </row>
    <row r="9" spans="1:16" x14ac:dyDescent="0.3">
      <c r="A9" s="4">
        <v>5</v>
      </c>
      <c r="B9" s="30" t="s">
        <v>38</v>
      </c>
      <c r="C9" s="27" t="s">
        <v>31</v>
      </c>
      <c r="D9" s="10">
        <v>0</v>
      </c>
      <c r="E9" s="28">
        <v>9500</v>
      </c>
      <c r="F9" s="10"/>
      <c r="G9" s="13">
        <f>+D9+E9-F9</f>
        <v>9500</v>
      </c>
      <c r="H9" s="10"/>
      <c r="I9" s="3">
        <f>+G9-H9</f>
        <v>9500</v>
      </c>
      <c r="J9" s="10">
        <v>82</v>
      </c>
      <c r="K9" s="30" t="s">
        <v>36</v>
      </c>
      <c r="M9" s="50" t="s">
        <v>664</v>
      </c>
      <c r="N9" s="51" t="s">
        <v>665</v>
      </c>
      <c r="O9" s="51" t="s">
        <v>183</v>
      </c>
      <c r="P9" s="35">
        <v>9545442252</v>
      </c>
    </row>
    <row r="10" spans="1:16" x14ac:dyDescent="0.3">
      <c r="A10" s="4">
        <v>6</v>
      </c>
      <c r="B10" s="30" t="s">
        <v>76</v>
      </c>
      <c r="C10" s="29" t="s">
        <v>26</v>
      </c>
      <c r="D10" s="10">
        <v>0</v>
      </c>
      <c r="E10" s="28">
        <v>19000</v>
      </c>
      <c r="F10" s="10"/>
      <c r="G10" s="13">
        <f>+D10+E10-F10</f>
        <v>19000</v>
      </c>
      <c r="H10" s="10"/>
      <c r="I10" s="3">
        <f>+G10-H10</f>
        <v>19000</v>
      </c>
      <c r="J10" s="10">
        <v>82</v>
      </c>
      <c r="K10" s="30" t="s">
        <v>77</v>
      </c>
      <c r="M10" s="50" t="s">
        <v>666</v>
      </c>
      <c r="N10" s="51" t="s">
        <v>667</v>
      </c>
      <c r="O10" s="51" t="s">
        <v>682</v>
      </c>
      <c r="P10" s="35">
        <v>9527679386</v>
      </c>
    </row>
    <row r="11" spans="1:16" x14ac:dyDescent="0.3">
      <c r="A11" s="4">
        <v>7</v>
      </c>
      <c r="B11" s="27" t="s">
        <v>39</v>
      </c>
      <c r="C11" s="29" t="s">
        <v>19</v>
      </c>
      <c r="D11" s="4">
        <v>5000</v>
      </c>
      <c r="E11" s="28">
        <v>9500</v>
      </c>
      <c r="F11" s="4"/>
      <c r="G11" s="13">
        <f>+D11+E11-F11</f>
        <v>14500</v>
      </c>
      <c r="H11" s="4">
        <v>5000</v>
      </c>
      <c r="I11" s="3">
        <f>+G11-H11</f>
        <v>9500</v>
      </c>
      <c r="J11" s="4">
        <v>82</v>
      </c>
      <c r="K11" s="29" t="s">
        <v>36</v>
      </c>
      <c r="M11" s="50" t="s">
        <v>660</v>
      </c>
      <c r="N11" s="51" t="s">
        <v>661</v>
      </c>
      <c r="O11" s="51" t="s">
        <v>303</v>
      </c>
      <c r="P11" s="35">
        <v>9049509442</v>
      </c>
    </row>
    <row r="12" spans="1:16" x14ac:dyDescent="0.3">
      <c r="A12" s="4">
        <v>8</v>
      </c>
      <c r="B12" s="27" t="s">
        <v>79</v>
      </c>
      <c r="C12" s="29" t="s">
        <v>47</v>
      </c>
      <c r="D12" s="9">
        <v>6500</v>
      </c>
      <c r="E12" s="28">
        <v>19000</v>
      </c>
      <c r="F12" s="3"/>
      <c r="G12" s="13">
        <f>+D12+E12-F12</f>
        <v>25500</v>
      </c>
      <c r="H12" s="9">
        <v>6500</v>
      </c>
      <c r="I12" s="3">
        <f>+G12-H12</f>
        <v>19000</v>
      </c>
      <c r="J12" s="4">
        <v>82</v>
      </c>
      <c r="K12" s="29" t="s">
        <v>80</v>
      </c>
      <c r="M12" s="50" t="s">
        <v>668</v>
      </c>
      <c r="N12" s="35" t="s">
        <v>669</v>
      </c>
      <c r="O12" s="51" t="s">
        <v>378</v>
      </c>
      <c r="P12" s="35">
        <v>9579224848</v>
      </c>
    </row>
    <row r="13" spans="1:16" x14ac:dyDescent="0.3">
      <c r="A13" s="4">
        <v>9</v>
      </c>
      <c r="B13" s="27" t="s">
        <v>15</v>
      </c>
      <c r="C13" s="27" t="s">
        <v>16</v>
      </c>
      <c r="D13" s="4">
        <v>0</v>
      </c>
      <c r="E13" s="28">
        <v>15500</v>
      </c>
      <c r="F13" s="4"/>
      <c r="G13" s="13">
        <f>+D13+E13-F13</f>
        <v>15500</v>
      </c>
      <c r="H13" s="4"/>
      <c r="I13" s="3">
        <f>+G13-H13</f>
        <v>15500</v>
      </c>
      <c r="J13" s="4">
        <v>82</v>
      </c>
      <c r="K13" s="29" t="s">
        <v>17</v>
      </c>
      <c r="M13" s="50" t="s">
        <v>670</v>
      </c>
      <c r="N13" s="35" t="s">
        <v>671</v>
      </c>
      <c r="O13" s="51" t="s">
        <v>408</v>
      </c>
      <c r="P13" s="35">
        <v>9823642374</v>
      </c>
    </row>
    <row r="14" spans="1:16" x14ac:dyDescent="0.3">
      <c r="A14" s="4">
        <v>10</v>
      </c>
      <c r="B14" s="27" t="s">
        <v>18</v>
      </c>
      <c r="C14" s="29" t="s">
        <v>19</v>
      </c>
      <c r="D14" s="4">
        <v>0</v>
      </c>
      <c r="E14" s="28">
        <v>15500</v>
      </c>
      <c r="F14" s="4"/>
      <c r="G14" s="13">
        <f>+D14+E14-F14</f>
        <v>15500</v>
      </c>
      <c r="H14" s="4"/>
      <c r="I14" s="3">
        <f>+G14-H14</f>
        <v>15500</v>
      </c>
      <c r="J14" s="4">
        <v>82</v>
      </c>
      <c r="K14" s="27" t="s">
        <v>17</v>
      </c>
      <c r="M14" s="50" t="s">
        <v>672</v>
      </c>
      <c r="N14" s="35" t="s">
        <v>675</v>
      </c>
      <c r="O14" s="51" t="s">
        <v>683</v>
      </c>
      <c r="P14" s="35">
        <v>9970329599</v>
      </c>
    </row>
    <row r="15" spans="1:16" x14ac:dyDescent="0.3">
      <c r="A15" s="4">
        <v>11</v>
      </c>
      <c r="B15" s="27" t="s">
        <v>20</v>
      </c>
      <c r="C15" s="29" t="s">
        <v>21</v>
      </c>
      <c r="D15" s="9">
        <v>9500</v>
      </c>
      <c r="E15" s="28">
        <v>15500</v>
      </c>
      <c r="F15" s="3"/>
      <c r="G15" s="13">
        <f>+D15+E15-F15</f>
        <v>25000</v>
      </c>
      <c r="H15" s="9"/>
      <c r="I15" s="3">
        <f>+G15-H15</f>
        <v>25000</v>
      </c>
      <c r="J15" s="4">
        <v>82</v>
      </c>
      <c r="K15" s="27" t="s">
        <v>17</v>
      </c>
      <c r="M15" s="50" t="s">
        <v>674</v>
      </c>
      <c r="N15" s="35" t="s">
        <v>673</v>
      </c>
      <c r="O15" s="51" t="s">
        <v>119</v>
      </c>
      <c r="P15" s="35">
        <v>9922641818</v>
      </c>
    </row>
    <row r="16" spans="1:16" x14ac:dyDescent="0.3">
      <c r="A16" s="4">
        <v>12</v>
      </c>
      <c r="B16" s="27" t="s">
        <v>61</v>
      </c>
      <c r="C16" s="27" t="s">
        <v>31</v>
      </c>
      <c r="D16" s="4">
        <v>0</v>
      </c>
      <c r="E16" s="28">
        <v>9500</v>
      </c>
      <c r="F16" s="4"/>
      <c r="G16" s="13">
        <f>+D16+E16-F16</f>
        <v>9500</v>
      </c>
      <c r="H16" s="4"/>
      <c r="I16" s="3">
        <f>+G16-H16</f>
        <v>9500</v>
      </c>
      <c r="J16" s="4">
        <v>82</v>
      </c>
      <c r="K16" s="34" t="s">
        <v>59</v>
      </c>
      <c r="M16" s="50" t="s">
        <v>676</v>
      </c>
      <c r="N16" s="35" t="s">
        <v>677</v>
      </c>
      <c r="O16" s="51" t="s">
        <v>538</v>
      </c>
      <c r="P16" s="35">
        <v>8888254447</v>
      </c>
    </row>
    <row r="17" spans="1:15" x14ac:dyDescent="0.3">
      <c r="A17" s="4">
        <v>13</v>
      </c>
      <c r="B17" s="27" t="s">
        <v>78</v>
      </c>
      <c r="C17" s="27" t="s">
        <v>24</v>
      </c>
      <c r="D17" s="4">
        <v>4000</v>
      </c>
      <c r="E17" s="28">
        <v>19000</v>
      </c>
      <c r="F17" s="4"/>
      <c r="G17" s="13">
        <f>+D17+E17-F17</f>
        <v>23000</v>
      </c>
      <c r="H17" s="4">
        <v>4000</v>
      </c>
      <c r="I17" s="3">
        <f>+G17-H17</f>
        <v>19000</v>
      </c>
      <c r="J17" s="4">
        <v>82</v>
      </c>
      <c r="K17" s="29" t="s">
        <v>77</v>
      </c>
      <c r="N17" s="6"/>
      <c r="O17" s="6"/>
    </row>
    <row r="18" spans="1:15" x14ac:dyDescent="0.3">
      <c r="A18" s="4">
        <v>14</v>
      </c>
      <c r="B18" s="27" t="s">
        <v>62</v>
      </c>
      <c r="C18" s="29" t="s">
        <v>47</v>
      </c>
      <c r="D18" s="10">
        <v>0</v>
      </c>
      <c r="E18" s="28">
        <v>9500</v>
      </c>
      <c r="F18" s="10"/>
      <c r="G18" s="13">
        <f>+D18+E18-F18</f>
        <v>9500</v>
      </c>
      <c r="H18" s="10"/>
      <c r="I18" s="3">
        <f>+G18-H18</f>
        <v>9500</v>
      </c>
      <c r="J18" s="4">
        <v>82</v>
      </c>
      <c r="K18" s="34" t="s">
        <v>59</v>
      </c>
      <c r="N18" s="6"/>
      <c r="O18" s="6"/>
    </row>
    <row r="19" spans="1:15" x14ac:dyDescent="0.3">
      <c r="A19" s="4">
        <v>15</v>
      </c>
      <c r="B19" s="30" t="s">
        <v>63</v>
      </c>
      <c r="C19" s="29" t="s">
        <v>21</v>
      </c>
      <c r="D19" s="32">
        <v>0</v>
      </c>
      <c r="E19" s="28">
        <v>9500</v>
      </c>
      <c r="F19" s="32"/>
      <c r="G19" s="13">
        <f>+D19+E19-F19</f>
        <v>9500</v>
      </c>
      <c r="H19" s="10"/>
      <c r="I19" s="3">
        <f>+G19-H19</f>
        <v>9500</v>
      </c>
      <c r="J19" s="10">
        <v>82</v>
      </c>
      <c r="K19" s="30" t="s">
        <v>59</v>
      </c>
    </row>
    <row r="20" spans="1:15" x14ac:dyDescent="0.3">
      <c r="A20" s="4">
        <v>16</v>
      </c>
      <c r="B20" s="27" t="s">
        <v>25</v>
      </c>
      <c r="C20" s="29" t="s">
        <v>26</v>
      </c>
      <c r="D20" s="9">
        <v>5200</v>
      </c>
      <c r="E20" s="28">
        <v>18000</v>
      </c>
      <c r="F20" s="3"/>
      <c r="G20" s="13">
        <f>+D20+E20-F20</f>
        <v>23200</v>
      </c>
      <c r="H20" s="9">
        <f>2000+2000</f>
        <v>4000</v>
      </c>
      <c r="I20" s="3">
        <f>+G20-H20</f>
        <v>19200</v>
      </c>
      <c r="J20" s="4">
        <v>82</v>
      </c>
      <c r="K20" s="27" t="s">
        <v>27</v>
      </c>
    </row>
    <row r="21" spans="1:15" x14ac:dyDescent="0.3">
      <c r="A21" s="4">
        <v>17</v>
      </c>
      <c r="B21" s="30" t="s">
        <v>32</v>
      </c>
      <c r="C21" s="30" t="s">
        <v>33</v>
      </c>
      <c r="D21" s="10">
        <v>0</v>
      </c>
      <c r="E21" s="28">
        <v>18000</v>
      </c>
      <c r="F21" s="10"/>
      <c r="G21" s="13">
        <f>+D21+E21-F21</f>
        <v>18000</v>
      </c>
      <c r="H21" s="10"/>
      <c r="I21" s="3">
        <f>+G21-H21</f>
        <v>18000</v>
      </c>
      <c r="J21" s="10">
        <v>82</v>
      </c>
      <c r="K21" s="30" t="s">
        <v>34</v>
      </c>
    </row>
    <row r="22" spans="1:15" x14ac:dyDescent="0.3">
      <c r="A22" s="4">
        <v>18</v>
      </c>
      <c r="B22" s="27" t="s">
        <v>28</v>
      </c>
      <c r="C22" s="29" t="s">
        <v>29</v>
      </c>
      <c r="D22" s="4">
        <v>0</v>
      </c>
      <c r="E22" s="28">
        <v>18000</v>
      </c>
      <c r="F22" s="4"/>
      <c r="G22" s="13">
        <f>+D22+E22-F22</f>
        <v>18000</v>
      </c>
      <c r="H22" s="4"/>
      <c r="I22" s="3">
        <f>+G22-H22</f>
        <v>18000</v>
      </c>
      <c r="J22" s="4">
        <v>82</v>
      </c>
      <c r="K22" s="27" t="s">
        <v>27</v>
      </c>
    </row>
    <row r="23" spans="1:15" x14ac:dyDescent="0.3">
      <c r="A23" s="4">
        <v>19</v>
      </c>
      <c r="B23" s="30" t="s">
        <v>40</v>
      </c>
      <c r="C23" s="29" t="s">
        <v>26</v>
      </c>
      <c r="D23" s="9">
        <v>9000</v>
      </c>
      <c r="E23" s="28">
        <v>9500</v>
      </c>
      <c r="F23" s="3"/>
      <c r="G23" s="13">
        <f>+D23+E23-F23</f>
        <v>18500</v>
      </c>
      <c r="H23" s="9">
        <v>9000</v>
      </c>
      <c r="I23" s="3">
        <f>+G23-H23</f>
        <v>9500</v>
      </c>
      <c r="J23" s="4">
        <v>82</v>
      </c>
      <c r="K23" s="30" t="s">
        <v>36</v>
      </c>
    </row>
    <row r="24" spans="1:15" x14ac:dyDescent="0.3">
      <c r="A24" s="4">
        <v>20</v>
      </c>
      <c r="B24" s="30" t="s">
        <v>64</v>
      </c>
      <c r="C24" s="29" t="s">
        <v>19</v>
      </c>
      <c r="D24" s="9">
        <v>5000</v>
      </c>
      <c r="E24" s="28">
        <v>9500</v>
      </c>
      <c r="F24" s="3"/>
      <c r="G24" s="13">
        <f>+D24+E24-F24</f>
        <v>14500</v>
      </c>
      <c r="H24" s="9">
        <v>5000</v>
      </c>
      <c r="I24" s="3">
        <f>+G24-H24</f>
        <v>9500</v>
      </c>
      <c r="J24" s="4">
        <v>82</v>
      </c>
      <c r="K24" s="30" t="s">
        <v>59</v>
      </c>
    </row>
    <row r="25" spans="1:15" x14ac:dyDescent="0.3">
      <c r="A25" s="4">
        <v>21</v>
      </c>
      <c r="B25" s="27" t="s">
        <v>65</v>
      </c>
      <c r="C25" s="29" t="s">
        <v>21</v>
      </c>
      <c r="D25" s="4">
        <v>4000</v>
      </c>
      <c r="E25" s="28">
        <v>9500</v>
      </c>
      <c r="F25" s="4"/>
      <c r="G25" s="13">
        <f>+D25+E25-F25</f>
        <v>13500</v>
      </c>
      <c r="H25" s="4"/>
      <c r="I25" s="3">
        <f>+G25-H25</f>
        <v>13500</v>
      </c>
      <c r="J25" s="4">
        <v>82</v>
      </c>
      <c r="K25" s="34" t="s">
        <v>59</v>
      </c>
    </row>
    <row r="26" spans="1:15" x14ac:dyDescent="0.3">
      <c r="A26" s="4">
        <v>22</v>
      </c>
      <c r="B26" s="27" t="s">
        <v>68</v>
      </c>
      <c r="C26" s="31" t="s">
        <v>43</v>
      </c>
      <c r="D26" s="4">
        <v>4500</v>
      </c>
      <c r="E26" s="28">
        <v>9500</v>
      </c>
      <c r="F26" s="4"/>
      <c r="G26" s="13">
        <f>+D26+E26-F26</f>
        <v>14000</v>
      </c>
      <c r="H26" s="4">
        <v>4500</v>
      </c>
      <c r="I26" s="3">
        <f>+G26-H26</f>
        <v>9500</v>
      </c>
      <c r="J26" s="4">
        <v>82</v>
      </c>
      <c r="K26" s="30" t="s">
        <v>69</v>
      </c>
    </row>
    <row r="27" spans="1:15" x14ac:dyDescent="0.3">
      <c r="A27" s="4">
        <v>23</v>
      </c>
      <c r="B27" s="27" t="s">
        <v>53</v>
      </c>
      <c r="C27" s="29" t="s">
        <v>47</v>
      </c>
      <c r="D27" s="4">
        <v>0</v>
      </c>
      <c r="E27" s="28">
        <v>22000</v>
      </c>
      <c r="F27" s="3"/>
      <c r="G27" s="13">
        <f>+D27+E27-F27</f>
        <v>22000</v>
      </c>
      <c r="H27" s="9">
        <v>5000</v>
      </c>
      <c r="I27" s="3">
        <f>+G27-H27</f>
        <v>17000</v>
      </c>
      <c r="J27" s="4">
        <v>82</v>
      </c>
      <c r="K27" s="29" t="s">
        <v>54</v>
      </c>
    </row>
    <row r="28" spans="1:15" x14ac:dyDescent="0.3">
      <c r="A28" s="4">
        <v>24</v>
      </c>
      <c r="B28" s="30" t="s">
        <v>70</v>
      </c>
      <c r="C28" s="31" t="s">
        <v>43</v>
      </c>
      <c r="D28" s="4">
        <v>4000</v>
      </c>
      <c r="E28" s="28">
        <v>9500</v>
      </c>
      <c r="F28" s="4"/>
      <c r="G28" s="13">
        <f>+D28+E28-F28</f>
        <v>13500</v>
      </c>
      <c r="H28" s="4">
        <v>4000</v>
      </c>
      <c r="I28" s="3">
        <f>+G28-H28</f>
        <v>9500</v>
      </c>
      <c r="J28" s="4">
        <v>82</v>
      </c>
      <c r="K28" s="30" t="s">
        <v>69</v>
      </c>
    </row>
    <row r="29" spans="1:15" x14ac:dyDescent="0.3">
      <c r="A29" s="4">
        <v>25</v>
      </c>
      <c r="B29" s="27" t="s">
        <v>22</v>
      </c>
      <c r="C29" s="29" t="s">
        <v>21</v>
      </c>
      <c r="D29" s="9">
        <v>9500</v>
      </c>
      <c r="E29" s="28">
        <v>15500</v>
      </c>
      <c r="F29" s="3"/>
      <c r="G29" s="13">
        <f>+D29+E29-F29</f>
        <v>25000</v>
      </c>
      <c r="H29" s="9"/>
      <c r="I29" s="3">
        <f>+G29-H29</f>
        <v>25000</v>
      </c>
      <c r="J29" s="4">
        <v>82</v>
      </c>
      <c r="K29" s="27" t="s">
        <v>17</v>
      </c>
    </row>
    <row r="30" spans="1:15" x14ac:dyDescent="0.3">
      <c r="A30" s="4">
        <v>26</v>
      </c>
      <c r="B30" s="30" t="s">
        <v>82</v>
      </c>
      <c r="C30" s="27" t="s">
        <v>24</v>
      </c>
      <c r="D30" s="10">
        <v>7500</v>
      </c>
      <c r="E30" s="10">
        <v>18500</v>
      </c>
      <c r="F30" s="10"/>
      <c r="G30" s="13">
        <f>+D30+E30-F30</f>
        <v>26000</v>
      </c>
      <c r="H30" s="10">
        <v>7500</v>
      </c>
      <c r="I30" s="3">
        <f>+G30-H30</f>
        <v>18500</v>
      </c>
      <c r="J30" s="10">
        <v>82</v>
      </c>
      <c r="K30" s="30" t="s">
        <v>83</v>
      </c>
    </row>
    <row r="31" spans="1:15" x14ac:dyDescent="0.3">
      <c r="A31" s="4">
        <v>27</v>
      </c>
      <c r="B31" s="27" t="s">
        <v>41</v>
      </c>
      <c r="C31" s="29" t="s">
        <v>19</v>
      </c>
      <c r="D31" s="4">
        <v>0</v>
      </c>
      <c r="E31" s="28">
        <v>9500</v>
      </c>
      <c r="F31" s="4"/>
      <c r="G31" s="13">
        <f>+D31+E31-F31</f>
        <v>9500</v>
      </c>
      <c r="H31" s="4"/>
      <c r="I31" s="3">
        <f>+G31-H31</f>
        <v>9500</v>
      </c>
      <c r="J31" s="4">
        <v>82</v>
      </c>
      <c r="K31" s="29" t="s">
        <v>36</v>
      </c>
    </row>
    <row r="32" spans="1:15" x14ac:dyDescent="0.3">
      <c r="A32" s="4">
        <v>28</v>
      </c>
      <c r="B32" s="27" t="s">
        <v>55</v>
      </c>
      <c r="C32" s="27" t="s">
        <v>31</v>
      </c>
      <c r="D32" s="4">
        <v>0</v>
      </c>
      <c r="E32" s="28">
        <v>15500</v>
      </c>
      <c r="F32" s="4"/>
      <c r="G32" s="13">
        <f>+D32+E32-F32</f>
        <v>15500</v>
      </c>
      <c r="H32" s="4"/>
      <c r="I32" s="3">
        <f>+G32-H32</f>
        <v>15500</v>
      </c>
      <c r="J32" s="4">
        <v>82</v>
      </c>
      <c r="K32" s="33" t="s">
        <v>56</v>
      </c>
    </row>
    <row r="33" spans="1:11" x14ac:dyDescent="0.3">
      <c r="A33" s="4">
        <v>29</v>
      </c>
      <c r="B33" s="30" t="s">
        <v>49</v>
      </c>
      <c r="C33" s="29" t="s">
        <v>29</v>
      </c>
      <c r="D33" s="4">
        <v>0</v>
      </c>
      <c r="E33" s="28">
        <v>17000</v>
      </c>
      <c r="F33" s="4"/>
      <c r="G33" s="13">
        <f>+D33+E33-F33</f>
        <v>17000</v>
      </c>
      <c r="H33" s="4"/>
      <c r="I33" s="3">
        <f>+G33-H33</f>
        <v>17000</v>
      </c>
      <c r="J33" s="4">
        <v>82</v>
      </c>
      <c r="K33" s="30" t="s">
        <v>50</v>
      </c>
    </row>
    <row r="34" spans="1:11" x14ac:dyDescent="0.3">
      <c r="A34" s="4">
        <v>30</v>
      </c>
      <c r="B34" s="30" t="s">
        <v>51</v>
      </c>
      <c r="C34" s="27" t="s">
        <v>24</v>
      </c>
      <c r="D34" s="10">
        <v>10000</v>
      </c>
      <c r="E34" s="28">
        <v>17000</v>
      </c>
      <c r="F34" s="10"/>
      <c r="G34" s="13">
        <f>+D34+E34-F34</f>
        <v>27000</v>
      </c>
      <c r="H34" s="10"/>
      <c r="I34" s="3">
        <f>+G34-H34</f>
        <v>27000</v>
      </c>
      <c r="J34" s="10">
        <v>82</v>
      </c>
      <c r="K34" s="30" t="s">
        <v>50</v>
      </c>
    </row>
    <row r="35" spans="1:11" x14ac:dyDescent="0.3">
      <c r="A35" s="4">
        <v>31</v>
      </c>
      <c r="B35" s="30" t="s">
        <v>57</v>
      </c>
      <c r="C35" s="29" t="s">
        <v>19</v>
      </c>
      <c r="D35" s="10">
        <v>0</v>
      </c>
      <c r="E35" s="28">
        <v>15500</v>
      </c>
      <c r="F35" s="10"/>
      <c r="G35" s="13">
        <f>+D35+E35-F35</f>
        <v>15500</v>
      </c>
      <c r="H35" s="10"/>
      <c r="I35" s="3">
        <f>+G35-H35</f>
        <v>15500</v>
      </c>
      <c r="J35" s="10">
        <v>82</v>
      </c>
      <c r="K35" s="30" t="s">
        <v>56</v>
      </c>
    </row>
    <row r="36" spans="1:11" x14ac:dyDescent="0.3">
      <c r="A36" s="4">
        <v>32</v>
      </c>
      <c r="B36" s="27" t="s">
        <v>66</v>
      </c>
      <c r="C36" s="29" t="s">
        <v>19</v>
      </c>
      <c r="D36" s="9">
        <v>0</v>
      </c>
      <c r="E36" s="28">
        <v>9500</v>
      </c>
      <c r="F36" s="3"/>
      <c r="G36" s="13">
        <f>+D36+E36-F36</f>
        <v>9500</v>
      </c>
      <c r="H36" s="9"/>
      <c r="I36" s="3">
        <f>+G36-H36</f>
        <v>9500</v>
      </c>
      <c r="J36" s="4">
        <v>82</v>
      </c>
      <c r="K36" s="34" t="s">
        <v>59</v>
      </c>
    </row>
    <row r="37" spans="1:11" x14ac:dyDescent="0.3">
      <c r="A37" s="4">
        <v>33</v>
      </c>
      <c r="B37" s="30" t="s">
        <v>42</v>
      </c>
      <c r="C37" s="31" t="s">
        <v>43</v>
      </c>
      <c r="D37" s="32">
        <v>0</v>
      </c>
      <c r="E37" s="28">
        <v>9500</v>
      </c>
      <c r="F37" s="32"/>
      <c r="G37" s="13">
        <f>+D37+E37-F37</f>
        <v>9500</v>
      </c>
      <c r="H37" s="4"/>
      <c r="I37" s="3">
        <f>+G37-H37</f>
        <v>9500</v>
      </c>
      <c r="J37" s="10">
        <v>82</v>
      </c>
      <c r="K37" s="30" t="s">
        <v>36</v>
      </c>
    </row>
    <row r="38" spans="1:11" x14ac:dyDescent="0.3">
      <c r="A38" s="4">
        <v>34</v>
      </c>
      <c r="B38" s="30" t="s">
        <v>44</v>
      </c>
      <c r="C38" s="27" t="s">
        <v>31</v>
      </c>
      <c r="D38" s="10">
        <v>9000</v>
      </c>
      <c r="E38" s="28">
        <v>9500</v>
      </c>
      <c r="F38" s="10"/>
      <c r="G38" s="13">
        <f>+D38+E38-F38</f>
        <v>18500</v>
      </c>
      <c r="H38" s="10">
        <v>9000</v>
      </c>
      <c r="I38" s="3">
        <f>+G38-H38</f>
        <v>9500</v>
      </c>
      <c r="J38" s="10">
        <v>82</v>
      </c>
      <c r="K38" s="30" t="s">
        <v>36</v>
      </c>
    </row>
    <row r="39" spans="1:11" x14ac:dyDescent="0.3">
      <c r="A39" s="4">
        <v>35</v>
      </c>
      <c r="B39" s="30" t="s">
        <v>71</v>
      </c>
      <c r="C39" s="31" t="s">
        <v>43</v>
      </c>
      <c r="D39" s="4">
        <v>4000</v>
      </c>
      <c r="E39" s="28">
        <v>9500</v>
      </c>
      <c r="F39" s="4"/>
      <c r="G39" s="13">
        <f>+D39+E39-F39</f>
        <v>13500</v>
      </c>
      <c r="H39" s="4">
        <v>4000</v>
      </c>
      <c r="I39" s="3">
        <f>+G39-H39</f>
        <v>9500</v>
      </c>
      <c r="J39" s="4">
        <v>82</v>
      </c>
      <c r="K39" s="30" t="s">
        <v>69</v>
      </c>
    </row>
    <row r="40" spans="1:11" x14ac:dyDescent="0.3">
      <c r="A40" s="4">
        <v>36</v>
      </c>
      <c r="B40" s="27" t="s">
        <v>72</v>
      </c>
      <c r="C40" s="27" t="s">
        <v>31</v>
      </c>
      <c r="D40" s="4">
        <v>0</v>
      </c>
      <c r="E40" s="28">
        <v>9500</v>
      </c>
      <c r="F40" s="4"/>
      <c r="G40" s="13">
        <f>+D40+E40-F40</f>
        <v>9500</v>
      </c>
      <c r="H40" s="4"/>
      <c r="I40" s="3">
        <f>+G40-H40</f>
        <v>9500</v>
      </c>
      <c r="J40" s="4">
        <v>82</v>
      </c>
      <c r="K40" s="29" t="s">
        <v>69</v>
      </c>
    </row>
    <row r="41" spans="1:11" x14ac:dyDescent="0.3">
      <c r="A41" s="4">
        <v>37</v>
      </c>
      <c r="B41" s="30" t="s">
        <v>45</v>
      </c>
      <c r="C41" s="29" t="s">
        <v>26</v>
      </c>
      <c r="D41" s="10">
        <v>0</v>
      </c>
      <c r="E41" s="28">
        <v>9500</v>
      </c>
      <c r="F41" s="10"/>
      <c r="G41" s="13">
        <f>+D41+E41-F41</f>
        <v>9500</v>
      </c>
      <c r="H41" s="10"/>
      <c r="I41" s="3">
        <f>+G41-H41</f>
        <v>9500</v>
      </c>
      <c r="J41" s="10">
        <v>82</v>
      </c>
      <c r="K41" s="30" t="s">
        <v>36</v>
      </c>
    </row>
    <row r="42" spans="1:11" x14ac:dyDescent="0.3">
      <c r="A42" s="4">
        <v>38</v>
      </c>
      <c r="B42" s="30" t="s">
        <v>46</v>
      </c>
      <c r="C42" s="29" t="s">
        <v>47</v>
      </c>
      <c r="D42" s="10">
        <v>0</v>
      </c>
      <c r="E42" s="28">
        <v>9500</v>
      </c>
      <c r="F42" s="10"/>
      <c r="G42" s="13">
        <f>+D42+E42-F42</f>
        <v>9500</v>
      </c>
      <c r="H42" s="10"/>
      <c r="I42" s="3">
        <f>+G42-H42</f>
        <v>9500</v>
      </c>
      <c r="J42" s="10">
        <v>82</v>
      </c>
      <c r="K42" s="30" t="s">
        <v>36</v>
      </c>
    </row>
    <row r="43" spans="1:11" x14ac:dyDescent="0.3">
      <c r="A43" s="4">
        <v>39</v>
      </c>
      <c r="B43" s="30" t="s">
        <v>67</v>
      </c>
      <c r="C43" s="27" t="s">
        <v>31</v>
      </c>
      <c r="D43" s="4">
        <v>0</v>
      </c>
      <c r="E43" s="28">
        <v>9500</v>
      </c>
      <c r="F43" s="4"/>
      <c r="G43" s="13">
        <f>+D43+E43-F43</f>
        <v>9500</v>
      </c>
      <c r="H43" s="4"/>
      <c r="I43" s="3">
        <f>+G43-H43</f>
        <v>9500</v>
      </c>
      <c r="J43" s="4">
        <v>82</v>
      </c>
      <c r="K43" s="30" t="s">
        <v>59</v>
      </c>
    </row>
    <row r="44" spans="1:11" x14ac:dyDescent="0.3">
      <c r="A44" s="4">
        <v>40</v>
      </c>
      <c r="B44" s="27" t="s">
        <v>48</v>
      </c>
      <c r="C44" s="29" t="s">
        <v>29</v>
      </c>
      <c r="D44" s="4">
        <v>0</v>
      </c>
      <c r="E44" s="28">
        <v>9500</v>
      </c>
      <c r="F44" s="4"/>
      <c r="G44" s="13">
        <f>+D44+E44-F44</f>
        <v>9500</v>
      </c>
      <c r="H44" s="4"/>
      <c r="I44" s="3">
        <f>+G44-H44</f>
        <v>9500</v>
      </c>
      <c r="J44" s="4">
        <v>82</v>
      </c>
      <c r="K44" s="29" t="s">
        <v>36</v>
      </c>
    </row>
    <row r="45" spans="1:11" x14ac:dyDescent="0.3">
      <c r="A45" s="4">
        <v>41</v>
      </c>
      <c r="B45" s="27" t="s">
        <v>23</v>
      </c>
      <c r="C45" s="27" t="s">
        <v>24</v>
      </c>
      <c r="D45" s="4">
        <v>0</v>
      </c>
      <c r="E45" s="28">
        <v>15500</v>
      </c>
      <c r="F45" s="4"/>
      <c r="G45" s="13">
        <f>+D45+E45-F45</f>
        <v>15500</v>
      </c>
      <c r="H45" s="4"/>
      <c r="I45" s="3">
        <f>+G45-H45</f>
        <v>15500</v>
      </c>
      <c r="J45" s="4">
        <v>82</v>
      </c>
      <c r="K45" s="27" t="s">
        <v>17</v>
      </c>
    </row>
    <row r="46" spans="1:11" x14ac:dyDescent="0.3">
      <c r="A46" s="4">
        <v>42</v>
      </c>
      <c r="B46" s="27" t="s">
        <v>73</v>
      </c>
      <c r="C46" s="27" t="s">
        <v>16</v>
      </c>
      <c r="D46" s="4">
        <v>4500</v>
      </c>
      <c r="E46" s="28">
        <v>9500</v>
      </c>
      <c r="F46" s="4"/>
      <c r="G46" s="13">
        <f>+D46+E46-F46</f>
        <v>14000</v>
      </c>
      <c r="H46" s="4">
        <v>4500</v>
      </c>
      <c r="I46" s="3">
        <f>+G46-H46</f>
        <v>9500</v>
      </c>
      <c r="J46" s="4">
        <v>82</v>
      </c>
      <c r="K46" s="27" t="s">
        <v>69</v>
      </c>
    </row>
    <row r="47" spans="1:11" x14ac:dyDescent="0.3">
      <c r="A47" s="4">
        <v>43</v>
      </c>
      <c r="B47" s="27" t="s">
        <v>81</v>
      </c>
      <c r="C47" s="29" t="s">
        <v>29</v>
      </c>
      <c r="D47" s="9">
        <v>0</v>
      </c>
      <c r="E47" s="28">
        <v>19000</v>
      </c>
      <c r="F47" s="3"/>
      <c r="G47" s="13">
        <f>+D47+E47-F47</f>
        <v>19000</v>
      </c>
      <c r="H47" s="9"/>
      <c r="I47" s="3">
        <f>+G47-H47</f>
        <v>19000</v>
      </c>
      <c r="J47" s="4">
        <v>82</v>
      </c>
      <c r="K47" s="29" t="s">
        <v>80</v>
      </c>
    </row>
    <row r="48" spans="1:11" x14ac:dyDescent="0.3">
      <c r="A48" s="4">
        <v>44</v>
      </c>
      <c r="B48" s="27" t="s">
        <v>30</v>
      </c>
      <c r="C48" s="27" t="s">
        <v>31</v>
      </c>
      <c r="D48" s="4">
        <v>0</v>
      </c>
      <c r="E48" s="28">
        <v>18000</v>
      </c>
      <c r="F48" s="4"/>
      <c r="G48" s="13">
        <f>+D48+E48-F48</f>
        <v>18000</v>
      </c>
      <c r="H48" s="4"/>
      <c r="I48" s="3">
        <f>+G48-H48</f>
        <v>18000</v>
      </c>
      <c r="J48" s="4">
        <v>82</v>
      </c>
      <c r="K48" s="27" t="s">
        <v>27</v>
      </c>
    </row>
    <row r="49" spans="1:12" x14ac:dyDescent="0.3">
      <c r="A49" s="4">
        <v>45</v>
      </c>
      <c r="B49" s="27" t="s">
        <v>52</v>
      </c>
      <c r="C49" s="27" t="s">
        <v>31</v>
      </c>
      <c r="D49" s="4">
        <v>0</v>
      </c>
      <c r="E49" s="28">
        <v>17000</v>
      </c>
      <c r="F49" s="4"/>
      <c r="G49" s="13">
        <f>+D49+E49-F49</f>
        <v>17000</v>
      </c>
      <c r="H49" s="4"/>
      <c r="I49" s="3">
        <f>+G49-H49</f>
        <v>17000</v>
      </c>
      <c r="J49" s="4">
        <v>82</v>
      </c>
      <c r="K49" s="30" t="s">
        <v>50</v>
      </c>
    </row>
    <row r="50" spans="1:12" x14ac:dyDescent="0.3">
      <c r="A50" s="4">
        <v>46</v>
      </c>
      <c r="B50" s="30" t="s">
        <v>74</v>
      </c>
      <c r="C50" s="31" t="s">
        <v>75</v>
      </c>
      <c r="D50" s="10">
        <v>4500</v>
      </c>
      <c r="E50" s="28">
        <v>9500</v>
      </c>
      <c r="F50" s="10"/>
      <c r="G50" s="13">
        <f>+D50+E50-F50</f>
        <v>14000</v>
      </c>
      <c r="H50" s="10">
        <v>4500</v>
      </c>
      <c r="I50" s="3">
        <f>+G50-H50</f>
        <v>9500</v>
      </c>
      <c r="J50" s="10">
        <v>82</v>
      </c>
      <c r="K50" s="30" t="s">
        <v>69</v>
      </c>
    </row>
    <row r="51" spans="1:12" x14ac:dyDescent="0.3">
      <c r="A51" s="4"/>
      <c r="B51" s="35"/>
      <c r="C51" s="36"/>
      <c r="D51" s="37">
        <f t="shared" ref="D51:I51" si="0">SUM(D5:D50)</f>
        <v>139650</v>
      </c>
      <c r="E51" s="37">
        <f t="shared" si="0"/>
        <v>595000</v>
      </c>
      <c r="F51" s="37">
        <f t="shared" si="0"/>
        <v>0</v>
      </c>
      <c r="G51" s="37">
        <f t="shared" si="0"/>
        <v>734650</v>
      </c>
      <c r="H51" s="37">
        <f t="shared" si="0"/>
        <v>86000</v>
      </c>
      <c r="I51" s="37">
        <f t="shared" si="0"/>
        <v>648650</v>
      </c>
      <c r="J51" s="35"/>
      <c r="K51" s="35"/>
    </row>
    <row r="52" spans="1:12" x14ac:dyDescent="0.3">
      <c r="A52" s="1" t="s">
        <v>0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2" ht="20.25" customHeight="1" x14ac:dyDescent="0.3">
      <c r="A53" s="2" t="s">
        <v>1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2" ht="17.25" customHeight="1" x14ac:dyDescent="0.3">
      <c r="A54" s="1" t="s">
        <v>2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2" ht="40.5" customHeight="1" x14ac:dyDescent="0.3">
      <c r="A55" s="3" t="s">
        <v>3</v>
      </c>
      <c r="B55" s="3" t="s">
        <v>4</v>
      </c>
      <c r="C55" s="3" t="s">
        <v>5</v>
      </c>
      <c r="D55" s="3" t="s">
        <v>6</v>
      </c>
      <c r="E55" s="3" t="s">
        <v>7</v>
      </c>
      <c r="F55" s="3" t="s">
        <v>8</v>
      </c>
      <c r="G55" s="3" t="s">
        <v>9</v>
      </c>
      <c r="H55" s="3" t="s">
        <v>10</v>
      </c>
      <c r="I55" s="3" t="s">
        <v>11</v>
      </c>
      <c r="J55" s="3" t="s">
        <v>12</v>
      </c>
      <c r="K55" s="3" t="s">
        <v>13</v>
      </c>
      <c r="L55" s="26" t="s">
        <v>14</v>
      </c>
    </row>
    <row r="56" spans="1:12" x14ac:dyDescent="0.3">
      <c r="A56" s="4">
        <v>1</v>
      </c>
      <c r="B56" s="30" t="s">
        <v>84</v>
      </c>
      <c r="C56" s="27" t="s">
        <v>21</v>
      </c>
      <c r="D56" s="4">
        <v>0</v>
      </c>
      <c r="E56" s="28">
        <v>14500</v>
      </c>
      <c r="F56" s="4"/>
      <c r="G56" s="13">
        <f>+D56+E56-F56</f>
        <v>14500</v>
      </c>
      <c r="H56" s="4"/>
      <c r="I56" s="3">
        <f>+G56-H56</f>
        <v>14500</v>
      </c>
      <c r="J56" s="4">
        <v>83</v>
      </c>
      <c r="K56" s="30" t="s">
        <v>85</v>
      </c>
    </row>
    <row r="57" spans="1:12" x14ac:dyDescent="0.3">
      <c r="A57" s="4">
        <v>2</v>
      </c>
      <c r="B57" s="27" t="s">
        <v>87</v>
      </c>
      <c r="C57" s="30" t="s">
        <v>47</v>
      </c>
      <c r="D57" s="10">
        <v>0</v>
      </c>
      <c r="E57" s="28">
        <v>15000</v>
      </c>
      <c r="F57" s="10"/>
      <c r="G57" s="13">
        <f>+D57+E57-F57</f>
        <v>15000</v>
      </c>
      <c r="H57" s="10"/>
      <c r="I57" s="3">
        <f>+G57-H57</f>
        <v>15000</v>
      </c>
      <c r="J57" s="4">
        <v>83</v>
      </c>
      <c r="K57" s="29" t="s">
        <v>88</v>
      </c>
    </row>
    <row r="58" spans="1:12" x14ac:dyDescent="0.3">
      <c r="A58" s="4">
        <v>3</v>
      </c>
      <c r="B58" s="27" t="s">
        <v>89</v>
      </c>
      <c r="C58" s="27" t="s">
        <v>16</v>
      </c>
      <c r="D58" s="4">
        <v>0</v>
      </c>
      <c r="E58" s="28">
        <v>14500</v>
      </c>
      <c r="F58" s="4"/>
      <c r="G58" s="13">
        <f>+D58+E58-F58</f>
        <v>14500</v>
      </c>
      <c r="H58" s="4"/>
      <c r="I58" s="3">
        <f>+G58-H58</f>
        <v>14500</v>
      </c>
      <c r="J58" s="4">
        <v>83</v>
      </c>
      <c r="K58" s="33" t="s">
        <v>85</v>
      </c>
    </row>
    <row r="59" spans="1:12" x14ac:dyDescent="0.3">
      <c r="A59" s="4">
        <v>4</v>
      </c>
      <c r="B59" s="27" t="s">
        <v>90</v>
      </c>
      <c r="C59" s="27" t="s">
        <v>24</v>
      </c>
      <c r="D59" s="4">
        <v>0</v>
      </c>
      <c r="E59" s="28">
        <v>15000</v>
      </c>
      <c r="F59" s="4"/>
      <c r="G59" s="13">
        <f>+D59+E59-F59</f>
        <v>15000</v>
      </c>
      <c r="H59" s="4"/>
      <c r="I59" s="3">
        <f>+G59-H59</f>
        <v>15000</v>
      </c>
      <c r="J59" s="4">
        <v>83</v>
      </c>
      <c r="K59" s="29" t="s">
        <v>88</v>
      </c>
    </row>
    <row r="60" spans="1:12" x14ac:dyDescent="0.3">
      <c r="A60" s="4">
        <v>5</v>
      </c>
      <c r="B60" s="27" t="s">
        <v>91</v>
      </c>
      <c r="C60" s="27" t="s">
        <v>16</v>
      </c>
      <c r="D60" s="4">
        <v>0</v>
      </c>
      <c r="E60" s="28">
        <v>14500</v>
      </c>
      <c r="F60" s="4"/>
      <c r="G60" s="13">
        <f>+D60+E60-F60</f>
        <v>14500</v>
      </c>
      <c r="H60" s="4"/>
      <c r="I60" s="3">
        <f>+G60-H60</f>
        <v>14500</v>
      </c>
      <c r="J60" s="4">
        <v>83</v>
      </c>
      <c r="K60" s="33" t="s">
        <v>85</v>
      </c>
    </row>
    <row r="61" spans="1:12" x14ac:dyDescent="0.3">
      <c r="A61" s="4">
        <v>6</v>
      </c>
      <c r="B61" s="27" t="s">
        <v>92</v>
      </c>
      <c r="C61" s="29" t="s">
        <v>93</v>
      </c>
      <c r="D61" s="9">
        <v>0</v>
      </c>
      <c r="E61" s="28">
        <v>15000</v>
      </c>
      <c r="F61" s="9"/>
      <c r="G61" s="13">
        <f>+D61+E61-F61</f>
        <v>15000</v>
      </c>
      <c r="H61" s="9"/>
      <c r="I61" s="3">
        <f>+G61-H61</f>
        <v>15000</v>
      </c>
      <c r="J61" s="4">
        <v>83</v>
      </c>
      <c r="K61" s="29" t="s">
        <v>88</v>
      </c>
    </row>
    <row r="62" spans="1:12" x14ac:dyDescent="0.3">
      <c r="A62" s="4">
        <v>7</v>
      </c>
      <c r="B62" s="27" t="s">
        <v>94</v>
      </c>
      <c r="C62" s="30" t="s">
        <v>33</v>
      </c>
      <c r="D62" s="10">
        <v>0</v>
      </c>
      <c r="E62" s="28">
        <v>14500</v>
      </c>
      <c r="F62" s="10"/>
      <c r="G62" s="13">
        <f>+D62+E62-F62</f>
        <v>14500</v>
      </c>
      <c r="H62" s="4"/>
      <c r="I62" s="3">
        <f>+G62-H62</f>
        <v>14500</v>
      </c>
      <c r="J62" s="4">
        <v>83</v>
      </c>
      <c r="K62" s="29" t="s">
        <v>85</v>
      </c>
    </row>
    <row r="63" spans="1:12" x14ac:dyDescent="0.3">
      <c r="A63" s="4">
        <v>8</v>
      </c>
      <c r="B63" s="27" t="s">
        <v>95</v>
      </c>
      <c r="C63" s="27" t="s">
        <v>24</v>
      </c>
      <c r="D63" s="4">
        <v>13500</v>
      </c>
      <c r="E63" s="28">
        <v>14500</v>
      </c>
      <c r="F63" s="4"/>
      <c r="G63" s="13">
        <f>+D63+E63-F63</f>
        <v>28000</v>
      </c>
      <c r="H63" s="4"/>
      <c r="I63" s="3">
        <f>+G63-H63</f>
        <v>28000</v>
      </c>
      <c r="J63" s="4">
        <v>83</v>
      </c>
      <c r="K63" s="29" t="s">
        <v>96</v>
      </c>
    </row>
    <row r="64" spans="1:12" x14ac:dyDescent="0.3">
      <c r="A64" s="4">
        <v>9</v>
      </c>
      <c r="B64" s="27" t="s">
        <v>97</v>
      </c>
      <c r="C64" s="30" t="s">
        <v>47</v>
      </c>
      <c r="D64" s="10">
        <v>0</v>
      </c>
      <c r="E64" s="28">
        <v>14500</v>
      </c>
      <c r="F64" s="10"/>
      <c r="G64" s="13">
        <f>+D64+E64-F64</f>
        <v>14500</v>
      </c>
      <c r="H64" s="10"/>
      <c r="I64" s="3">
        <f>+G64-H64</f>
        <v>14500</v>
      </c>
      <c r="J64" s="4">
        <v>83</v>
      </c>
      <c r="K64" s="27" t="s">
        <v>85</v>
      </c>
    </row>
    <row r="65" spans="1:11" x14ac:dyDescent="0.3">
      <c r="A65" s="4">
        <v>10</v>
      </c>
      <c r="B65" s="27" t="s">
        <v>98</v>
      </c>
      <c r="C65" s="29" t="s">
        <v>47</v>
      </c>
      <c r="D65" s="9">
        <v>17000</v>
      </c>
      <c r="E65" s="28">
        <v>15000</v>
      </c>
      <c r="F65" s="9"/>
      <c r="G65" s="13">
        <f>+D65+E65-F65</f>
        <v>32000</v>
      </c>
      <c r="H65" s="9"/>
      <c r="I65" s="3">
        <f>+G65-H65</f>
        <v>32000</v>
      </c>
      <c r="J65" s="4">
        <v>83</v>
      </c>
      <c r="K65" s="29" t="s">
        <v>88</v>
      </c>
    </row>
    <row r="66" spans="1:11" x14ac:dyDescent="0.3">
      <c r="A66" s="4">
        <v>11</v>
      </c>
      <c r="B66" s="27" t="s">
        <v>99</v>
      </c>
      <c r="C66" s="27" t="s">
        <v>21</v>
      </c>
      <c r="D66" s="4">
        <v>5500</v>
      </c>
      <c r="E66" s="28">
        <v>14500</v>
      </c>
      <c r="F66" s="4"/>
      <c r="G66" s="13">
        <f>+D66+E66-F66</f>
        <v>20000</v>
      </c>
      <c r="H66" s="4"/>
      <c r="I66" s="3">
        <f>+G66-H66</f>
        <v>20000</v>
      </c>
      <c r="J66" s="4">
        <v>83</v>
      </c>
      <c r="K66" s="29" t="s">
        <v>85</v>
      </c>
    </row>
    <row r="67" spans="1:11" x14ac:dyDescent="0.3">
      <c r="A67" s="4">
        <v>12</v>
      </c>
      <c r="B67" s="27" t="s">
        <v>100</v>
      </c>
      <c r="C67" s="27" t="s">
        <v>21</v>
      </c>
      <c r="D67" s="4">
        <v>0</v>
      </c>
      <c r="E67" s="28">
        <v>15000</v>
      </c>
      <c r="F67" s="4"/>
      <c r="G67" s="13">
        <f>+D67+E67-F67</f>
        <v>15000</v>
      </c>
      <c r="H67" s="4"/>
      <c r="I67" s="3">
        <f>+G67-H67</f>
        <v>15000</v>
      </c>
      <c r="J67" s="4">
        <v>83</v>
      </c>
      <c r="K67" s="29" t="s">
        <v>88</v>
      </c>
    </row>
    <row r="68" spans="1:11" x14ac:dyDescent="0.3">
      <c r="A68" s="4">
        <v>13</v>
      </c>
      <c r="B68" s="30" t="s">
        <v>101</v>
      </c>
      <c r="C68" s="31" t="s">
        <v>26</v>
      </c>
      <c r="D68" s="32">
        <v>0</v>
      </c>
      <c r="E68" s="28">
        <v>15000</v>
      </c>
      <c r="F68" s="32"/>
      <c r="G68" s="13">
        <f>+D68+E68-F68</f>
        <v>15000</v>
      </c>
      <c r="H68" s="9"/>
      <c r="I68" s="3">
        <f>+G68-H68</f>
        <v>15000</v>
      </c>
      <c r="J68" s="10">
        <v>83</v>
      </c>
      <c r="K68" s="38" t="s">
        <v>88</v>
      </c>
    </row>
    <row r="69" spans="1:11" x14ac:dyDescent="0.3">
      <c r="A69" s="4">
        <v>14</v>
      </c>
      <c r="B69" s="27" t="s">
        <v>102</v>
      </c>
      <c r="C69" s="29" t="s">
        <v>47</v>
      </c>
      <c r="D69" s="9">
        <v>0</v>
      </c>
      <c r="E69" s="28">
        <v>14500</v>
      </c>
      <c r="F69" s="9"/>
      <c r="G69" s="13">
        <f>+D69+E69-F69</f>
        <v>14500</v>
      </c>
      <c r="H69" s="9"/>
      <c r="I69" s="3">
        <f>+G69-H69</f>
        <v>14500</v>
      </c>
      <c r="J69" s="4">
        <v>83</v>
      </c>
      <c r="K69" s="33" t="s">
        <v>85</v>
      </c>
    </row>
    <row r="70" spans="1:11" x14ac:dyDescent="0.3">
      <c r="A70" s="4">
        <v>15</v>
      </c>
      <c r="B70" s="30" t="s">
        <v>103</v>
      </c>
      <c r="C70" s="30" t="s">
        <v>33</v>
      </c>
      <c r="D70" s="10">
        <v>0</v>
      </c>
      <c r="E70" s="28">
        <v>14500</v>
      </c>
      <c r="F70" s="10"/>
      <c r="G70" s="13">
        <f>+D70+E70-F70</f>
        <v>14500</v>
      </c>
      <c r="H70" s="10"/>
      <c r="I70" s="3">
        <f>+G70-H70</f>
        <v>14500</v>
      </c>
      <c r="J70" s="4">
        <v>83</v>
      </c>
      <c r="K70" s="29" t="s">
        <v>96</v>
      </c>
    </row>
    <row r="71" spans="1:11" x14ac:dyDescent="0.3">
      <c r="A71" s="4">
        <v>16</v>
      </c>
      <c r="B71" s="30" t="s">
        <v>104</v>
      </c>
      <c r="C71" s="30" t="s">
        <v>16</v>
      </c>
      <c r="D71" s="10">
        <v>5500</v>
      </c>
      <c r="E71" s="28">
        <v>14500</v>
      </c>
      <c r="F71" s="10"/>
      <c r="G71" s="13">
        <f>+D71+E71-F71</f>
        <v>20000</v>
      </c>
      <c r="H71" s="10">
        <v>5500</v>
      </c>
      <c r="I71" s="3">
        <f>+G71-H71</f>
        <v>14500</v>
      </c>
      <c r="J71" s="10">
        <v>83</v>
      </c>
      <c r="K71" s="30" t="s">
        <v>85</v>
      </c>
    </row>
    <row r="72" spans="1:11" x14ac:dyDescent="0.3">
      <c r="A72" s="4">
        <v>17</v>
      </c>
      <c r="B72" s="27" t="s">
        <v>105</v>
      </c>
      <c r="C72" s="30" t="s">
        <v>47</v>
      </c>
      <c r="D72" s="10">
        <v>0</v>
      </c>
      <c r="E72" s="28">
        <v>15000</v>
      </c>
      <c r="F72" s="10"/>
      <c r="G72" s="13">
        <f>+D72+E72-F72</f>
        <v>15000</v>
      </c>
      <c r="H72" s="10"/>
      <c r="I72" s="3">
        <f>+G72-H72</f>
        <v>15000</v>
      </c>
      <c r="J72" s="4">
        <v>83</v>
      </c>
      <c r="K72" s="29" t="s">
        <v>88</v>
      </c>
    </row>
    <row r="73" spans="1:11" x14ac:dyDescent="0.3">
      <c r="A73" s="4">
        <v>18</v>
      </c>
      <c r="B73" s="27" t="s">
        <v>106</v>
      </c>
      <c r="C73" s="30" t="s">
        <v>16</v>
      </c>
      <c r="D73" s="10">
        <v>0</v>
      </c>
      <c r="E73" s="28">
        <v>15000</v>
      </c>
      <c r="F73" s="10"/>
      <c r="G73" s="13">
        <f>+D73+E73-F73</f>
        <v>15000</v>
      </c>
      <c r="H73" s="10"/>
      <c r="I73" s="3">
        <f>+G73-H73</f>
        <v>15000</v>
      </c>
      <c r="J73" s="10">
        <v>83</v>
      </c>
      <c r="K73" s="38" t="s">
        <v>88</v>
      </c>
    </row>
    <row r="74" spans="1:11" x14ac:dyDescent="0.3">
      <c r="A74" s="4">
        <v>19</v>
      </c>
      <c r="B74" s="30" t="s">
        <v>107</v>
      </c>
      <c r="C74" s="30" t="s">
        <v>43</v>
      </c>
      <c r="D74" s="10">
        <v>0</v>
      </c>
      <c r="E74" s="28">
        <v>14500</v>
      </c>
      <c r="F74" s="10"/>
      <c r="G74" s="13">
        <f>+D74+E74-F74</f>
        <v>14500</v>
      </c>
      <c r="H74" s="10"/>
      <c r="I74" s="3">
        <f>+G74-H74</f>
        <v>14500</v>
      </c>
      <c r="J74" s="10">
        <v>83</v>
      </c>
      <c r="K74" s="30" t="s">
        <v>85</v>
      </c>
    </row>
    <row r="75" spans="1:11" x14ac:dyDescent="0.3">
      <c r="A75" s="4">
        <v>20</v>
      </c>
      <c r="B75" s="30" t="s">
        <v>108</v>
      </c>
      <c r="C75" s="31" t="s">
        <v>19</v>
      </c>
      <c r="D75" s="32">
        <v>0</v>
      </c>
      <c r="E75" s="28">
        <v>14500</v>
      </c>
      <c r="F75" s="32"/>
      <c r="G75" s="13">
        <f>+D75+E75-F75</f>
        <v>14500</v>
      </c>
      <c r="H75" s="10"/>
      <c r="I75" s="3">
        <f>+G75-H75</f>
        <v>14500</v>
      </c>
      <c r="J75" s="10">
        <v>83</v>
      </c>
      <c r="K75" s="30" t="s">
        <v>85</v>
      </c>
    </row>
    <row r="76" spans="1:11" x14ac:dyDescent="0.3">
      <c r="A76" s="4">
        <v>21</v>
      </c>
      <c r="B76" s="27" t="s">
        <v>109</v>
      </c>
      <c r="C76" s="27" t="s">
        <v>21</v>
      </c>
      <c r="D76" s="4">
        <v>0</v>
      </c>
      <c r="E76" s="28">
        <v>14500</v>
      </c>
      <c r="F76" s="4"/>
      <c r="G76" s="13">
        <f>+D76+E76-F76</f>
        <v>14500</v>
      </c>
      <c r="H76" s="4"/>
      <c r="I76" s="3">
        <f>+G76-H76</f>
        <v>14500</v>
      </c>
      <c r="J76" s="4">
        <v>83</v>
      </c>
      <c r="K76" s="27" t="s">
        <v>110</v>
      </c>
    </row>
    <row r="77" spans="1:11" x14ac:dyDescent="0.3">
      <c r="A77" s="4">
        <v>22</v>
      </c>
      <c r="B77" s="27" t="s">
        <v>111</v>
      </c>
      <c r="C77" s="30" t="s">
        <v>47</v>
      </c>
      <c r="D77" s="10">
        <v>0</v>
      </c>
      <c r="E77" s="28">
        <v>14500</v>
      </c>
      <c r="F77" s="10"/>
      <c r="G77" s="13">
        <f>+D77+E77-F77</f>
        <v>14500</v>
      </c>
      <c r="H77" s="10"/>
      <c r="I77" s="3">
        <f>+G77-H77</f>
        <v>14500</v>
      </c>
      <c r="J77" s="4">
        <v>83</v>
      </c>
      <c r="K77" s="29" t="s">
        <v>85</v>
      </c>
    </row>
    <row r="78" spans="1:11" x14ac:dyDescent="0.3">
      <c r="A78" s="4">
        <v>23</v>
      </c>
      <c r="B78" s="27" t="s">
        <v>112</v>
      </c>
      <c r="C78" s="30" t="s">
        <v>47</v>
      </c>
      <c r="D78" s="10">
        <v>0</v>
      </c>
      <c r="E78" s="28">
        <v>15000</v>
      </c>
      <c r="F78" s="10"/>
      <c r="G78" s="13">
        <f>+D78+E78-F78</f>
        <v>15000</v>
      </c>
      <c r="H78" s="10"/>
      <c r="I78" s="3">
        <f>+G78-H78</f>
        <v>15000</v>
      </c>
      <c r="J78" s="4">
        <v>83</v>
      </c>
      <c r="K78" s="29" t="s">
        <v>88</v>
      </c>
    </row>
    <row r="79" spans="1:11" x14ac:dyDescent="0.3">
      <c r="A79" s="4">
        <v>24</v>
      </c>
      <c r="B79" s="27" t="s">
        <v>113</v>
      </c>
      <c r="C79" s="29" t="s">
        <v>47</v>
      </c>
      <c r="D79" s="9">
        <v>14000</v>
      </c>
      <c r="E79" s="28">
        <v>15000</v>
      </c>
      <c r="F79" s="9"/>
      <c r="G79" s="13">
        <f>+D79+E79-F79</f>
        <v>29000</v>
      </c>
      <c r="H79" s="9"/>
      <c r="I79" s="3">
        <f>+G79-H79</f>
        <v>29000</v>
      </c>
      <c r="J79" s="4">
        <v>83</v>
      </c>
      <c r="K79" s="29" t="s">
        <v>88</v>
      </c>
    </row>
    <row r="80" spans="1:11" x14ac:dyDescent="0.3">
      <c r="A80" s="4">
        <v>25</v>
      </c>
      <c r="B80" s="30" t="s">
        <v>114</v>
      </c>
      <c r="C80" s="38" t="s">
        <v>16</v>
      </c>
      <c r="D80" s="9">
        <v>14000</v>
      </c>
      <c r="E80" s="28">
        <v>15000</v>
      </c>
      <c r="F80" s="9"/>
      <c r="G80" s="13">
        <f>+D80+E80-F80</f>
        <v>29000</v>
      </c>
      <c r="H80" s="9"/>
      <c r="I80" s="3">
        <f>+G80-H80</f>
        <v>29000</v>
      </c>
      <c r="J80" s="4">
        <v>83</v>
      </c>
      <c r="K80" s="30" t="s">
        <v>88</v>
      </c>
    </row>
    <row r="81" spans="1:13" x14ac:dyDescent="0.3">
      <c r="A81" s="4">
        <v>26</v>
      </c>
      <c r="B81" s="27" t="s">
        <v>115</v>
      </c>
      <c r="C81" s="31" t="s">
        <v>19</v>
      </c>
      <c r="D81" s="10">
        <v>0</v>
      </c>
      <c r="E81" s="28">
        <v>15000</v>
      </c>
      <c r="F81" s="10"/>
      <c r="G81" s="13">
        <f>+D81+E81-F81</f>
        <v>15000</v>
      </c>
      <c r="H81" s="10"/>
      <c r="I81" s="3">
        <f>+G81-H81</f>
        <v>15000</v>
      </c>
      <c r="J81" s="4">
        <v>83</v>
      </c>
      <c r="K81" s="38" t="s">
        <v>88</v>
      </c>
    </row>
    <row r="82" spans="1:13" x14ac:dyDescent="0.3">
      <c r="A82" s="4">
        <v>27</v>
      </c>
      <c r="B82" s="27" t="s">
        <v>116</v>
      </c>
      <c r="C82" s="29" t="s">
        <v>47</v>
      </c>
      <c r="D82" s="9">
        <v>17000</v>
      </c>
      <c r="E82" s="28">
        <v>15000</v>
      </c>
      <c r="F82" s="9"/>
      <c r="G82" s="13">
        <f>+D82+E82-F82</f>
        <v>32000</v>
      </c>
      <c r="H82" s="9"/>
      <c r="I82" s="3">
        <f>+G82-H82</f>
        <v>32000</v>
      </c>
      <c r="J82" s="4">
        <v>83</v>
      </c>
      <c r="K82" s="29" t="s">
        <v>88</v>
      </c>
      <c r="M82" s="5"/>
    </row>
    <row r="83" spans="1:13" x14ac:dyDescent="0.3">
      <c r="A83" s="4">
        <v>28</v>
      </c>
      <c r="B83" s="27" t="s">
        <v>117</v>
      </c>
      <c r="C83" s="30" t="s">
        <v>47</v>
      </c>
      <c r="D83" s="10">
        <v>0</v>
      </c>
      <c r="E83" s="28">
        <v>15000</v>
      </c>
      <c r="F83" s="10"/>
      <c r="G83" s="13">
        <f>+D83+E83-F83</f>
        <v>15000</v>
      </c>
      <c r="H83" s="10"/>
      <c r="I83" s="3">
        <f>+G83-H83</f>
        <v>15000</v>
      </c>
      <c r="J83" s="4">
        <v>83</v>
      </c>
      <c r="K83" s="29" t="s">
        <v>88</v>
      </c>
    </row>
    <row r="84" spans="1:13" x14ac:dyDescent="0.3">
      <c r="A84" s="4">
        <v>29</v>
      </c>
      <c r="B84" s="30" t="s">
        <v>118</v>
      </c>
      <c r="C84" s="27" t="s">
        <v>21</v>
      </c>
      <c r="D84" s="4">
        <v>0</v>
      </c>
      <c r="E84" s="28">
        <v>21000</v>
      </c>
      <c r="F84" s="4"/>
      <c r="G84" s="13">
        <f>+D84+E84-F84</f>
        <v>21000</v>
      </c>
      <c r="H84" s="4"/>
      <c r="I84" s="3">
        <f>+G84-H84</f>
        <v>21000</v>
      </c>
      <c r="J84" s="4">
        <v>83</v>
      </c>
      <c r="K84" s="27" t="s">
        <v>119</v>
      </c>
    </row>
    <row r="85" spans="1:13" x14ac:dyDescent="0.3">
      <c r="A85" s="4">
        <v>30</v>
      </c>
      <c r="B85" s="30" t="s">
        <v>120</v>
      </c>
      <c r="C85" s="31" t="s">
        <v>31</v>
      </c>
      <c r="D85" s="32">
        <v>0</v>
      </c>
      <c r="E85" s="28">
        <v>15000</v>
      </c>
      <c r="F85" s="32"/>
      <c r="G85" s="13">
        <f>+D85+E85-F85</f>
        <v>15000</v>
      </c>
      <c r="H85" s="9"/>
      <c r="I85" s="3">
        <f>+G85-H85</f>
        <v>15000</v>
      </c>
      <c r="J85" s="10">
        <v>83</v>
      </c>
      <c r="K85" s="38" t="s">
        <v>88</v>
      </c>
    </row>
    <row r="86" spans="1:13" x14ac:dyDescent="0.3">
      <c r="A86" s="4">
        <v>31</v>
      </c>
      <c r="B86" s="27" t="s">
        <v>121</v>
      </c>
      <c r="C86" s="27" t="s">
        <v>21</v>
      </c>
      <c r="D86" s="4">
        <v>0</v>
      </c>
      <c r="E86" s="28">
        <v>14500</v>
      </c>
      <c r="F86" s="4"/>
      <c r="G86" s="13">
        <f>+D86+E86-F86</f>
        <v>14500</v>
      </c>
      <c r="H86" s="4"/>
      <c r="I86" s="3">
        <f>+G86-H86</f>
        <v>14500</v>
      </c>
      <c r="J86" s="4">
        <v>83</v>
      </c>
      <c r="K86" s="33" t="s">
        <v>85</v>
      </c>
    </row>
    <row r="87" spans="1:13" x14ac:dyDescent="0.3">
      <c r="A87" s="4">
        <v>32</v>
      </c>
      <c r="B87" s="30" t="s">
        <v>86</v>
      </c>
      <c r="C87" s="30" t="s">
        <v>16</v>
      </c>
      <c r="D87" s="4">
        <v>0</v>
      </c>
      <c r="E87" s="28">
        <v>14500</v>
      </c>
      <c r="F87" s="4"/>
      <c r="G87" s="13">
        <f>+D87+E87-F87</f>
        <v>14500</v>
      </c>
      <c r="H87" s="4">
        <v>7250</v>
      </c>
      <c r="I87" s="3">
        <f>+G87-H87</f>
        <v>7250</v>
      </c>
      <c r="J87" s="4">
        <v>83</v>
      </c>
      <c r="K87" s="30" t="s">
        <v>85</v>
      </c>
    </row>
    <row r="88" spans="1:13" x14ac:dyDescent="0.3">
      <c r="A88" s="4">
        <v>33</v>
      </c>
      <c r="B88" s="27" t="s">
        <v>122</v>
      </c>
      <c r="C88" s="30" t="s">
        <v>33</v>
      </c>
      <c r="D88" s="10">
        <v>0</v>
      </c>
      <c r="E88" s="28">
        <v>15000</v>
      </c>
      <c r="F88" s="10"/>
      <c r="G88" s="13">
        <f>+D88+E88-F88</f>
        <v>15000</v>
      </c>
      <c r="H88" s="10"/>
      <c r="I88" s="3">
        <f>+G88-H88</f>
        <v>15000</v>
      </c>
      <c r="J88" s="4">
        <v>83</v>
      </c>
      <c r="K88" s="29" t="s">
        <v>88</v>
      </c>
    </row>
    <row r="89" spans="1:13" x14ac:dyDescent="0.3">
      <c r="A89" s="4">
        <v>34</v>
      </c>
      <c r="B89" s="30" t="s">
        <v>123</v>
      </c>
      <c r="C89" s="30" t="s">
        <v>16</v>
      </c>
      <c r="D89" s="10">
        <v>0</v>
      </c>
      <c r="E89" s="28">
        <v>14500</v>
      </c>
      <c r="F89" s="10"/>
      <c r="G89" s="13">
        <f>+D89+E89-F89</f>
        <v>14500</v>
      </c>
      <c r="H89" s="10"/>
      <c r="I89" s="3">
        <f>+G89-H89</f>
        <v>14500</v>
      </c>
      <c r="J89" s="10">
        <v>83</v>
      </c>
      <c r="K89" s="30" t="s">
        <v>85</v>
      </c>
    </row>
    <row r="90" spans="1:13" x14ac:dyDescent="0.3">
      <c r="A90" s="4">
        <v>35</v>
      </c>
      <c r="B90" s="27" t="s">
        <v>124</v>
      </c>
      <c r="C90" s="27" t="s">
        <v>29</v>
      </c>
      <c r="D90" s="4">
        <v>0</v>
      </c>
      <c r="E90" s="28">
        <v>14500</v>
      </c>
      <c r="F90" s="4"/>
      <c r="G90" s="13">
        <f>+D90+E90-F90</f>
        <v>14500</v>
      </c>
      <c r="H90" s="4"/>
      <c r="I90" s="3">
        <f>+G90-H90</f>
        <v>14500</v>
      </c>
      <c r="J90" s="4">
        <v>83</v>
      </c>
      <c r="K90" s="29" t="s">
        <v>85</v>
      </c>
    </row>
    <row r="91" spans="1:13" x14ac:dyDescent="0.3">
      <c r="A91" s="4">
        <v>36</v>
      </c>
      <c r="B91" s="27" t="s">
        <v>125</v>
      </c>
      <c r="C91" s="27" t="s">
        <v>21</v>
      </c>
      <c r="D91" s="4">
        <v>0</v>
      </c>
      <c r="E91" s="28">
        <v>14500</v>
      </c>
      <c r="F91" s="4"/>
      <c r="G91" s="13">
        <f>+D91+E91-F91</f>
        <v>14500</v>
      </c>
      <c r="H91" s="4"/>
      <c r="I91" s="3">
        <f>+G91-H91</f>
        <v>14500</v>
      </c>
      <c r="J91" s="4">
        <v>83</v>
      </c>
      <c r="K91" s="29" t="s">
        <v>85</v>
      </c>
    </row>
    <row r="92" spans="1:13" x14ac:dyDescent="0.3">
      <c r="A92" s="4">
        <v>37</v>
      </c>
      <c r="B92" s="27" t="s">
        <v>126</v>
      </c>
      <c r="C92" s="30" t="s">
        <v>47</v>
      </c>
      <c r="D92" s="10">
        <v>1000</v>
      </c>
      <c r="E92" s="28">
        <v>15000</v>
      </c>
      <c r="F92" s="10"/>
      <c r="G92" s="13">
        <f>+D92+E92-F92</f>
        <v>16000</v>
      </c>
      <c r="H92" s="10">
        <v>1000</v>
      </c>
      <c r="I92" s="3">
        <f>+G92-H92</f>
        <v>15000</v>
      </c>
      <c r="J92" s="4">
        <v>83</v>
      </c>
      <c r="K92" s="29" t="s">
        <v>88</v>
      </c>
    </row>
    <row r="93" spans="1:13" x14ac:dyDescent="0.3">
      <c r="A93" s="4">
        <v>38</v>
      </c>
      <c r="B93" s="27" t="s">
        <v>127</v>
      </c>
      <c r="C93" s="30" t="s">
        <v>33</v>
      </c>
      <c r="D93" s="10">
        <v>0</v>
      </c>
      <c r="E93" s="28">
        <v>15000</v>
      </c>
      <c r="F93" s="10"/>
      <c r="G93" s="13">
        <f>+D93+E93-F93</f>
        <v>15000</v>
      </c>
      <c r="H93" s="10"/>
      <c r="I93" s="3">
        <f>+G93-H93</f>
        <v>15000</v>
      </c>
      <c r="J93" s="4">
        <v>83</v>
      </c>
      <c r="K93" s="29" t="s">
        <v>88</v>
      </c>
    </row>
    <row r="94" spans="1:13" x14ac:dyDescent="0.3">
      <c r="A94" s="4">
        <v>39</v>
      </c>
      <c r="B94" s="39" t="s">
        <v>128</v>
      </c>
      <c r="C94" s="27" t="s">
        <v>19</v>
      </c>
      <c r="D94" s="4">
        <v>0</v>
      </c>
      <c r="E94" s="28">
        <v>14500</v>
      </c>
      <c r="F94" s="4"/>
      <c r="G94" s="13">
        <f>+D94+E94-F94</f>
        <v>14500</v>
      </c>
      <c r="H94" s="4"/>
      <c r="I94" s="3">
        <f>+G94-H94</f>
        <v>14500</v>
      </c>
      <c r="J94" s="4">
        <v>83</v>
      </c>
      <c r="K94" s="40" t="s">
        <v>85</v>
      </c>
    </row>
    <row r="95" spans="1:13" x14ac:dyDescent="0.3">
      <c r="A95" s="4">
        <v>40</v>
      </c>
      <c r="B95" s="27" t="s">
        <v>129</v>
      </c>
      <c r="C95" s="27" t="s">
        <v>16</v>
      </c>
      <c r="D95" s="4">
        <v>0</v>
      </c>
      <c r="E95" s="28">
        <v>14500</v>
      </c>
      <c r="F95" s="4"/>
      <c r="G95" s="13">
        <f>+D95+E95-F95</f>
        <v>14500</v>
      </c>
      <c r="H95" s="4"/>
      <c r="I95" s="3">
        <f>+G95-H95</f>
        <v>14500</v>
      </c>
      <c r="J95" s="4">
        <v>83</v>
      </c>
      <c r="K95" s="29" t="s">
        <v>85</v>
      </c>
    </row>
    <row r="96" spans="1:13" x14ac:dyDescent="0.3">
      <c r="A96" s="4">
        <v>41</v>
      </c>
      <c r="B96" s="30" t="s">
        <v>130</v>
      </c>
      <c r="C96" s="30" t="s">
        <v>16</v>
      </c>
      <c r="D96" s="10">
        <v>0</v>
      </c>
      <c r="E96" s="28">
        <v>15000</v>
      </c>
      <c r="F96" s="10"/>
      <c r="G96" s="13">
        <f>+D96+E96-F96</f>
        <v>15000</v>
      </c>
      <c r="H96" s="10"/>
      <c r="I96" s="3">
        <f>+G96-H96</f>
        <v>15000</v>
      </c>
      <c r="J96" s="10">
        <v>83</v>
      </c>
      <c r="K96" s="30" t="s">
        <v>88</v>
      </c>
    </row>
    <row r="97" spans="1:11" x14ac:dyDescent="0.3">
      <c r="A97" s="4">
        <v>42</v>
      </c>
      <c r="B97" s="27" t="s">
        <v>131</v>
      </c>
      <c r="C97" s="27" t="s">
        <v>31</v>
      </c>
      <c r="D97" s="4">
        <v>0</v>
      </c>
      <c r="E97" s="28">
        <v>15000</v>
      </c>
      <c r="F97" s="4"/>
      <c r="G97" s="13">
        <f>+D97+E97-F97</f>
        <v>15000</v>
      </c>
      <c r="H97" s="4"/>
      <c r="I97" s="3">
        <f>+G97-H97</f>
        <v>15000</v>
      </c>
      <c r="J97" s="4">
        <v>83</v>
      </c>
      <c r="K97" s="33" t="s">
        <v>132</v>
      </c>
    </row>
    <row r="98" spans="1:11" x14ac:dyDescent="0.3">
      <c r="A98" s="4">
        <v>43</v>
      </c>
      <c r="B98" s="30" t="s">
        <v>133</v>
      </c>
      <c r="C98" s="27" t="s">
        <v>26</v>
      </c>
      <c r="D98" s="4">
        <v>0</v>
      </c>
      <c r="E98" s="28">
        <v>14500</v>
      </c>
      <c r="F98" s="4"/>
      <c r="G98" s="13">
        <f>+D98+E98-F98</f>
        <v>14500</v>
      </c>
      <c r="H98" s="4"/>
      <c r="I98" s="3">
        <f>+G98-H98</f>
        <v>14500</v>
      </c>
      <c r="J98" s="4">
        <v>83</v>
      </c>
      <c r="K98" s="38" t="s">
        <v>85</v>
      </c>
    </row>
    <row r="99" spans="1:11" x14ac:dyDescent="0.3">
      <c r="A99" s="4">
        <v>44</v>
      </c>
      <c r="B99" s="30" t="s">
        <v>134</v>
      </c>
      <c r="C99" s="27" t="s">
        <v>19</v>
      </c>
      <c r="D99" s="4">
        <v>0</v>
      </c>
      <c r="E99" s="28">
        <v>14500</v>
      </c>
      <c r="F99" s="4"/>
      <c r="G99" s="13">
        <f>+D99+E99-F99</f>
        <v>14500</v>
      </c>
      <c r="H99" s="4"/>
      <c r="I99" s="3">
        <f>+G99-H99</f>
        <v>14500</v>
      </c>
      <c r="J99" s="4">
        <v>83</v>
      </c>
      <c r="K99" s="30" t="s">
        <v>85</v>
      </c>
    </row>
    <row r="100" spans="1:11" x14ac:dyDescent="0.3">
      <c r="A100" s="4">
        <v>45</v>
      </c>
      <c r="B100" s="27" t="s">
        <v>135</v>
      </c>
      <c r="C100" s="29" t="s">
        <v>47</v>
      </c>
      <c r="D100" s="9">
        <v>29000</v>
      </c>
      <c r="E100" s="28">
        <v>15000</v>
      </c>
      <c r="F100" s="9"/>
      <c r="G100" s="13">
        <f>+D100+E100-F100</f>
        <v>44000</v>
      </c>
      <c r="H100" s="9"/>
      <c r="I100" s="3">
        <f>+G100-H100</f>
        <v>44000</v>
      </c>
      <c r="J100" s="4">
        <v>83</v>
      </c>
      <c r="K100" s="27" t="s">
        <v>88</v>
      </c>
    </row>
    <row r="101" spans="1:11" x14ac:dyDescent="0.3">
      <c r="A101" s="4">
        <v>46</v>
      </c>
      <c r="B101" s="27" t="s">
        <v>136</v>
      </c>
      <c r="C101" s="27" t="s">
        <v>21</v>
      </c>
      <c r="D101" s="4">
        <v>14000</v>
      </c>
      <c r="E101" s="28">
        <v>15000</v>
      </c>
      <c r="F101" s="4"/>
      <c r="G101" s="13">
        <f>+D101+E101-F101</f>
        <v>29000</v>
      </c>
      <c r="H101" s="4">
        <v>10000</v>
      </c>
      <c r="I101" s="3">
        <f>+G101-H101</f>
        <v>19000</v>
      </c>
      <c r="J101" s="4">
        <v>83</v>
      </c>
      <c r="K101" s="29" t="s">
        <v>88</v>
      </c>
    </row>
    <row r="102" spans="1:11" x14ac:dyDescent="0.3">
      <c r="A102" s="4">
        <v>47</v>
      </c>
      <c r="B102" s="30" t="s">
        <v>137</v>
      </c>
      <c r="C102" s="30" t="s">
        <v>33</v>
      </c>
      <c r="D102" s="10">
        <v>6500</v>
      </c>
      <c r="E102" s="28">
        <v>14500</v>
      </c>
      <c r="F102" s="10"/>
      <c r="G102" s="13">
        <f>+D102+E102-F102</f>
        <v>21000</v>
      </c>
      <c r="H102" s="10">
        <v>6500</v>
      </c>
      <c r="I102" s="3">
        <f>+G102-H102</f>
        <v>14500</v>
      </c>
      <c r="J102" s="4">
        <v>83</v>
      </c>
      <c r="K102" s="29" t="s">
        <v>85</v>
      </c>
    </row>
    <row r="103" spans="1:11" x14ac:dyDescent="0.3">
      <c r="A103" s="4">
        <v>48</v>
      </c>
      <c r="B103" s="27" t="s">
        <v>138</v>
      </c>
      <c r="C103" s="29" t="s">
        <v>43</v>
      </c>
      <c r="D103" s="9">
        <v>4000</v>
      </c>
      <c r="E103" s="28">
        <v>15000</v>
      </c>
      <c r="F103" s="9"/>
      <c r="G103" s="13">
        <f>+D103+E103-F103</f>
        <v>19000</v>
      </c>
      <c r="H103" s="9">
        <v>4000</v>
      </c>
      <c r="I103" s="3">
        <f>+G103-H103</f>
        <v>15000</v>
      </c>
      <c r="J103" s="4">
        <v>83</v>
      </c>
      <c r="K103" s="29" t="s">
        <v>88</v>
      </c>
    </row>
    <row r="104" spans="1:11" x14ac:dyDescent="0.3">
      <c r="A104" s="4">
        <v>49</v>
      </c>
      <c r="B104" s="27" t="s">
        <v>139</v>
      </c>
      <c r="C104" s="29" t="s">
        <v>47</v>
      </c>
      <c r="D104" s="9">
        <v>4000</v>
      </c>
      <c r="E104" s="28">
        <v>15000</v>
      </c>
      <c r="F104" s="9"/>
      <c r="G104" s="13">
        <f>+D104+E104-F104</f>
        <v>19000</v>
      </c>
      <c r="H104" s="9">
        <f>2000+2000</f>
        <v>4000</v>
      </c>
      <c r="I104" s="3">
        <f>+G104-H104</f>
        <v>15000</v>
      </c>
      <c r="J104" s="4">
        <v>83</v>
      </c>
      <c r="K104" s="29" t="s">
        <v>88</v>
      </c>
    </row>
    <row r="105" spans="1:11" x14ac:dyDescent="0.3">
      <c r="A105" s="4">
        <v>50</v>
      </c>
      <c r="B105" s="27" t="s">
        <v>140</v>
      </c>
      <c r="C105" s="27" t="s">
        <v>16</v>
      </c>
      <c r="D105" s="4">
        <v>0</v>
      </c>
      <c r="E105" s="28">
        <v>14500</v>
      </c>
      <c r="F105" s="9"/>
      <c r="G105" s="13">
        <f>+D105+E105-F105</f>
        <v>14500</v>
      </c>
      <c r="H105" s="9">
        <v>7000</v>
      </c>
      <c r="I105" s="3">
        <f>+G105-H105</f>
        <v>7500</v>
      </c>
      <c r="J105" s="4">
        <v>83</v>
      </c>
      <c r="K105" s="33" t="s">
        <v>85</v>
      </c>
    </row>
    <row r="106" spans="1:11" x14ac:dyDescent="0.3">
      <c r="A106" s="4">
        <v>51</v>
      </c>
      <c r="B106" s="27" t="s">
        <v>141</v>
      </c>
      <c r="C106" s="30" t="s">
        <v>33</v>
      </c>
      <c r="D106" s="10">
        <v>0</v>
      </c>
      <c r="E106" s="28">
        <v>15000</v>
      </c>
      <c r="F106" s="10"/>
      <c r="G106" s="13">
        <f>+D106+E106-F106</f>
        <v>15000</v>
      </c>
      <c r="H106" s="10"/>
      <c r="I106" s="3">
        <f>+G106-H106</f>
        <v>15000</v>
      </c>
      <c r="J106" s="4">
        <v>83</v>
      </c>
      <c r="K106" s="29" t="s">
        <v>88</v>
      </c>
    </row>
    <row r="107" spans="1:11" x14ac:dyDescent="0.3">
      <c r="A107" s="4">
        <v>52</v>
      </c>
      <c r="B107" s="27" t="s">
        <v>142</v>
      </c>
      <c r="C107" s="29" t="s">
        <v>29</v>
      </c>
      <c r="D107" s="9">
        <v>0</v>
      </c>
      <c r="E107" s="28">
        <v>14500</v>
      </c>
      <c r="F107" s="9"/>
      <c r="G107" s="13">
        <f>+D107+E107-F107</f>
        <v>14500</v>
      </c>
      <c r="H107" s="9"/>
      <c r="I107" s="3">
        <f>+G107-H107</f>
        <v>14500</v>
      </c>
      <c r="J107" s="4">
        <v>83</v>
      </c>
      <c r="K107" s="29" t="s">
        <v>85</v>
      </c>
    </row>
    <row r="108" spans="1:11" x14ac:dyDescent="0.3">
      <c r="A108" s="4">
        <v>53</v>
      </c>
      <c r="B108" s="30" t="s">
        <v>143</v>
      </c>
      <c r="C108" s="31" t="s">
        <v>19</v>
      </c>
      <c r="D108" s="32">
        <v>0</v>
      </c>
      <c r="E108" s="28">
        <v>14500</v>
      </c>
      <c r="F108" s="32"/>
      <c r="G108" s="13">
        <f>+D108+E108-F108</f>
        <v>14500</v>
      </c>
      <c r="H108" s="10"/>
      <c r="I108" s="3">
        <f>+G108-H108</f>
        <v>14500</v>
      </c>
      <c r="J108" s="10">
        <v>83</v>
      </c>
      <c r="K108" s="30" t="s">
        <v>85</v>
      </c>
    </row>
    <row r="109" spans="1:11" x14ac:dyDescent="0.3">
      <c r="A109" s="35"/>
      <c r="B109" s="35"/>
      <c r="C109" s="35"/>
      <c r="D109" s="37">
        <f t="shared" ref="D109:I109" si="1">SUM(D56:D108)</f>
        <v>145000</v>
      </c>
      <c r="E109" s="37">
        <f t="shared" si="1"/>
        <v>787500</v>
      </c>
      <c r="F109" s="37">
        <f t="shared" si="1"/>
        <v>0</v>
      </c>
      <c r="G109" s="37">
        <f t="shared" si="1"/>
        <v>932500</v>
      </c>
      <c r="H109" s="37">
        <f t="shared" si="1"/>
        <v>45250</v>
      </c>
      <c r="I109" s="37">
        <f t="shared" si="1"/>
        <v>887250</v>
      </c>
      <c r="J109" s="35"/>
      <c r="K109" s="35"/>
    </row>
    <row r="110" spans="1:11" x14ac:dyDescent="0.3">
      <c r="A110" s="1" t="s">
        <v>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20.25" customHeight="1" x14ac:dyDescent="0.3">
      <c r="A111" s="2" t="s">
        <v>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7.25" customHeight="1" x14ac:dyDescent="0.3">
      <c r="A112" s="1" t="s">
        <v>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2" ht="40.5" customHeight="1" x14ac:dyDescent="0.3">
      <c r="A113" s="3" t="s">
        <v>3</v>
      </c>
      <c r="B113" s="3" t="s">
        <v>4</v>
      </c>
      <c r="C113" s="3" t="s">
        <v>5</v>
      </c>
      <c r="D113" s="3" t="s">
        <v>6</v>
      </c>
      <c r="E113" s="3" t="s">
        <v>7</v>
      </c>
      <c r="F113" s="3" t="s">
        <v>8</v>
      </c>
      <c r="G113" s="3" t="s">
        <v>9</v>
      </c>
      <c r="H113" s="3" t="s">
        <v>10</v>
      </c>
      <c r="I113" s="3" t="s">
        <v>11</v>
      </c>
      <c r="J113" s="3" t="s">
        <v>12</v>
      </c>
      <c r="K113" s="3" t="s">
        <v>13</v>
      </c>
      <c r="L113" s="26" t="s">
        <v>14</v>
      </c>
    </row>
    <row r="114" spans="1:12" x14ac:dyDescent="0.3">
      <c r="A114" s="4">
        <v>1</v>
      </c>
      <c r="B114" s="27" t="s">
        <v>144</v>
      </c>
      <c r="C114" s="27" t="s">
        <v>31</v>
      </c>
      <c r="D114" s="4">
        <v>0</v>
      </c>
      <c r="E114" s="28">
        <v>13500</v>
      </c>
      <c r="F114" s="4"/>
      <c r="G114" s="13">
        <f>+D114+E114-F114</f>
        <v>13500</v>
      </c>
      <c r="H114" s="4"/>
      <c r="I114" s="3">
        <f>+G114-H114</f>
        <v>13500</v>
      </c>
      <c r="J114" s="4">
        <v>426</v>
      </c>
      <c r="K114" s="29" t="s">
        <v>145</v>
      </c>
    </row>
    <row r="115" spans="1:12" x14ac:dyDescent="0.3">
      <c r="A115" s="4">
        <v>2</v>
      </c>
      <c r="B115" s="27" t="s">
        <v>146</v>
      </c>
      <c r="C115" s="30" t="s">
        <v>33</v>
      </c>
      <c r="D115" s="10">
        <v>0</v>
      </c>
      <c r="E115" s="28">
        <v>13500</v>
      </c>
      <c r="F115" s="10"/>
      <c r="G115" s="13">
        <f>+D115+E115-F115</f>
        <v>13500</v>
      </c>
      <c r="H115" s="10"/>
      <c r="I115" s="3">
        <f>+G115-H115</f>
        <v>13500</v>
      </c>
      <c r="J115" s="4">
        <v>426</v>
      </c>
      <c r="K115" s="33" t="s">
        <v>147</v>
      </c>
    </row>
    <row r="116" spans="1:12" x14ac:dyDescent="0.3">
      <c r="A116" s="4">
        <v>3</v>
      </c>
      <c r="B116" s="27" t="s">
        <v>148</v>
      </c>
      <c r="C116" s="30" t="s">
        <v>33</v>
      </c>
      <c r="D116" s="10">
        <v>1500</v>
      </c>
      <c r="E116" s="28">
        <v>13500</v>
      </c>
      <c r="F116" s="10"/>
      <c r="G116" s="13">
        <f>+D116+E116-F116</f>
        <v>15000</v>
      </c>
      <c r="H116" s="10">
        <v>1500</v>
      </c>
      <c r="I116" s="3">
        <f>+G116-H116</f>
        <v>13500</v>
      </c>
      <c r="J116" s="4">
        <v>426</v>
      </c>
      <c r="K116" s="29" t="s">
        <v>149</v>
      </c>
    </row>
    <row r="117" spans="1:12" x14ac:dyDescent="0.3">
      <c r="A117" s="4">
        <v>4</v>
      </c>
      <c r="B117" s="27" t="s">
        <v>150</v>
      </c>
      <c r="C117" s="27" t="s">
        <v>29</v>
      </c>
      <c r="D117" s="4">
        <v>0</v>
      </c>
      <c r="E117" s="28">
        <v>9500</v>
      </c>
      <c r="F117" s="4"/>
      <c r="G117" s="13">
        <f>+D117+E117-F117</f>
        <v>9500</v>
      </c>
      <c r="H117" s="4"/>
      <c r="I117" s="3">
        <f>+G117-H117</f>
        <v>9500</v>
      </c>
      <c r="J117" s="4">
        <v>426</v>
      </c>
      <c r="K117" s="27" t="s">
        <v>69</v>
      </c>
    </row>
    <row r="118" spans="1:12" x14ac:dyDescent="0.3">
      <c r="A118" s="4">
        <v>5</v>
      </c>
      <c r="B118" s="27" t="s">
        <v>151</v>
      </c>
      <c r="C118" s="29" t="s">
        <v>24</v>
      </c>
      <c r="D118" s="9">
        <v>2750</v>
      </c>
      <c r="E118" s="28">
        <v>9500</v>
      </c>
      <c r="F118" s="3"/>
      <c r="G118" s="13">
        <f>+D118+E118-F118</f>
        <v>12250</v>
      </c>
      <c r="H118" s="9">
        <v>2500</v>
      </c>
      <c r="I118" s="3">
        <f>+G118-H118</f>
        <v>9750</v>
      </c>
      <c r="J118" s="4">
        <v>426</v>
      </c>
      <c r="K118" s="29" t="s">
        <v>69</v>
      </c>
    </row>
    <row r="119" spans="1:12" x14ac:dyDescent="0.3">
      <c r="A119" s="4">
        <v>6</v>
      </c>
      <c r="B119" s="27" t="s">
        <v>152</v>
      </c>
      <c r="C119" s="29" t="s">
        <v>16</v>
      </c>
      <c r="D119" s="9">
        <v>4500</v>
      </c>
      <c r="E119" s="28">
        <v>9500</v>
      </c>
      <c r="F119" s="3"/>
      <c r="G119" s="13">
        <f>+D119+E119-F119</f>
        <v>14000</v>
      </c>
      <c r="H119" s="9">
        <v>4500</v>
      </c>
      <c r="I119" s="3">
        <f>+G119-H119</f>
        <v>9500</v>
      </c>
      <c r="J119" s="4">
        <v>426</v>
      </c>
      <c r="K119" s="29" t="s">
        <v>69</v>
      </c>
    </row>
    <row r="120" spans="1:12" x14ac:dyDescent="0.3">
      <c r="A120" s="4">
        <v>7</v>
      </c>
      <c r="B120" s="27" t="s">
        <v>153</v>
      </c>
      <c r="C120" s="27" t="s">
        <v>26</v>
      </c>
      <c r="D120" s="4">
        <v>0</v>
      </c>
      <c r="E120" s="28">
        <v>13500</v>
      </c>
      <c r="F120" s="4"/>
      <c r="G120" s="13">
        <f>+D120+E120-F120</f>
        <v>13500</v>
      </c>
      <c r="H120" s="4"/>
      <c r="I120" s="3">
        <f>+G120-H120</f>
        <v>13500</v>
      </c>
      <c r="J120" s="4">
        <v>426</v>
      </c>
      <c r="K120" s="29" t="s">
        <v>154</v>
      </c>
    </row>
    <row r="121" spans="1:12" x14ac:dyDescent="0.3">
      <c r="A121" s="4">
        <v>8</v>
      </c>
      <c r="B121" s="27" t="s">
        <v>155</v>
      </c>
      <c r="C121" s="29" t="s">
        <v>26</v>
      </c>
      <c r="D121" s="9">
        <v>6250</v>
      </c>
      <c r="E121" s="28">
        <v>13500</v>
      </c>
      <c r="F121" s="3"/>
      <c r="G121" s="13">
        <f>+D121+E121-F121</f>
        <v>19750</v>
      </c>
      <c r="H121" s="9">
        <v>6250</v>
      </c>
      <c r="I121" s="3">
        <f>+G121-H121</f>
        <v>13500</v>
      </c>
      <c r="J121" s="4">
        <v>426</v>
      </c>
      <c r="K121" s="33" t="s">
        <v>147</v>
      </c>
    </row>
    <row r="122" spans="1:12" x14ac:dyDescent="0.3">
      <c r="A122" s="4">
        <v>9</v>
      </c>
      <c r="B122" s="27" t="s">
        <v>156</v>
      </c>
      <c r="C122" s="29" t="s">
        <v>29</v>
      </c>
      <c r="D122" s="9">
        <v>0</v>
      </c>
      <c r="E122" s="28">
        <v>13500</v>
      </c>
      <c r="F122" s="3"/>
      <c r="G122" s="13">
        <f>+D122+E122-F122</f>
        <v>13500</v>
      </c>
      <c r="H122" s="9"/>
      <c r="I122" s="3">
        <f>+G122-H122</f>
        <v>13500</v>
      </c>
      <c r="J122" s="4">
        <v>426</v>
      </c>
      <c r="K122" s="29" t="s">
        <v>149</v>
      </c>
    </row>
    <row r="123" spans="1:12" x14ac:dyDescent="0.3">
      <c r="A123" s="4">
        <v>10</v>
      </c>
      <c r="B123" s="27" t="s">
        <v>157</v>
      </c>
      <c r="C123" s="29" t="s">
        <v>21</v>
      </c>
      <c r="D123" s="9">
        <v>9000</v>
      </c>
      <c r="E123" s="28">
        <v>9500</v>
      </c>
      <c r="F123" s="3"/>
      <c r="G123" s="13">
        <f>+D123+E123-F123</f>
        <v>18500</v>
      </c>
      <c r="H123" s="9"/>
      <c r="I123" s="3">
        <f>+G123-H123</f>
        <v>18500</v>
      </c>
      <c r="J123" s="4">
        <v>426</v>
      </c>
      <c r="K123" s="29" t="s">
        <v>69</v>
      </c>
    </row>
    <row r="124" spans="1:12" x14ac:dyDescent="0.3">
      <c r="A124" s="4">
        <v>11</v>
      </c>
      <c r="B124" s="27" t="s">
        <v>158</v>
      </c>
      <c r="C124" s="29" t="s">
        <v>26</v>
      </c>
      <c r="D124" s="9">
        <v>0</v>
      </c>
      <c r="E124" s="28">
        <v>9500</v>
      </c>
      <c r="F124" s="3"/>
      <c r="G124" s="13">
        <f>+D124+E124-F124</f>
        <v>9500</v>
      </c>
      <c r="H124" s="9"/>
      <c r="I124" s="3">
        <f>+G124-H124</f>
        <v>9500</v>
      </c>
      <c r="J124" s="4">
        <v>426</v>
      </c>
      <c r="K124" s="29" t="s">
        <v>69</v>
      </c>
      <c r="L124" s="8"/>
    </row>
    <row r="125" spans="1:12" x14ac:dyDescent="0.3">
      <c r="A125" s="4">
        <v>12</v>
      </c>
      <c r="B125" s="27" t="s">
        <v>159</v>
      </c>
      <c r="C125" s="30" t="s">
        <v>47</v>
      </c>
      <c r="D125" s="10">
        <v>0</v>
      </c>
      <c r="E125" s="28">
        <v>13500</v>
      </c>
      <c r="F125" s="10"/>
      <c r="G125" s="13">
        <f>+D125+E125-F125</f>
        <v>13500</v>
      </c>
      <c r="H125" s="10"/>
      <c r="I125" s="3">
        <f>+G125-H125</f>
        <v>13500</v>
      </c>
      <c r="J125" s="4">
        <v>426</v>
      </c>
      <c r="K125" s="29" t="s">
        <v>145</v>
      </c>
    </row>
    <row r="126" spans="1:12" x14ac:dyDescent="0.3">
      <c r="A126" s="4">
        <v>13</v>
      </c>
      <c r="B126" s="27" t="s">
        <v>160</v>
      </c>
      <c r="C126" s="29" t="s">
        <v>31</v>
      </c>
      <c r="D126" s="9">
        <v>6250</v>
      </c>
      <c r="E126" s="28">
        <v>13500</v>
      </c>
      <c r="F126" s="3"/>
      <c r="G126" s="13">
        <f>+D126+E126-F126</f>
        <v>19750</v>
      </c>
      <c r="H126" s="9">
        <v>6250</v>
      </c>
      <c r="I126" s="3">
        <f>+G126-H126</f>
        <v>13500</v>
      </c>
      <c r="J126" s="4">
        <v>426</v>
      </c>
      <c r="K126" s="33" t="s">
        <v>147</v>
      </c>
    </row>
    <row r="127" spans="1:12" x14ac:dyDescent="0.3">
      <c r="A127" s="4">
        <v>14</v>
      </c>
      <c r="B127" s="27" t="s">
        <v>161</v>
      </c>
      <c r="C127" s="27" t="s">
        <v>31</v>
      </c>
      <c r="D127" s="4">
        <v>0</v>
      </c>
      <c r="E127" s="28">
        <v>14000</v>
      </c>
      <c r="F127" s="4"/>
      <c r="G127" s="13">
        <f>+D127+E127-F127</f>
        <v>14000</v>
      </c>
      <c r="H127" s="4"/>
      <c r="I127" s="3">
        <f>+G127-H127</f>
        <v>14000</v>
      </c>
      <c r="J127" s="4">
        <v>426</v>
      </c>
      <c r="K127" s="29" t="s">
        <v>162</v>
      </c>
    </row>
    <row r="128" spans="1:12" x14ac:dyDescent="0.3">
      <c r="A128" s="4">
        <v>15</v>
      </c>
      <c r="B128" s="27" t="s">
        <v>163</v>
      </c>
      <c r="C128" s="27" t="s">
        <v>24</v>
      </c>
      <c r="D128" s="4">
        <v>0</v>
      </c>
      <c r="E128" s="28">
        <v>9500</v>
      </c>
      <c r="F128" s="4"/>
      <c r="G128" s="13">
        <f>+D128+E128-F128</f>
        <v>9500</v>
      </c>
      <c r="H128" s="4"/>
      <c r="I128" s="3">
        <f>+G128-H128</f>
        <v>9500</v>
      </c>
      <c r="J128" s="4">
        <v>426</v>
      </c>
      <c r="K128" s="29" t="s">
        <v>69</v>
      </c>
    </row>
    <row r="129" spans="1:12" x14ac:dyDescent="0.3">
      <c r="A129" s="4">
        <v>16</v>
      </c>
      <c r="B129" s="30" t="s">
        <v>164</v>
      </c>
      <c r="C129" s="30" t="s">
        <v>21</v>
      </c>
      <c r="D129" s="10">
        <v>0</v>
      </c>
      <c r="E129" s="28">
        <v>15000</v>
      </c>
      <c r="F129" s="10"/>
      <c r="G129" s="13">
        <f>+D129+E129-F129</f>
        <v>15000</v>
      </c>
      <c r="H129" s="10"/>
      <c r="I129" s="3">
        <f>+G129-H129</f>
        <v>15000</v>
      </c>
      <c r="J129" s="10">
        <v>426</v>
      </c>
      <c r="K129" s="30" t="s">
        <v>165</v>
      </c>
      <c r="L129" s="8"/>
    </row>
    <row r="130" spans="1:12" x14ac:dyDescent="0.3">
      <c r="A130" s="4">
        <v>17</v>
      </c>
      <c r="B130" s="27" t="s">
        <v>166</v>
      </c>
      <c r="C130" s="29" t="s">
        <v>47</v>
      </c>
      <c r="D130" s="9">
        <v>7500</v>
      </c>
      <c r="E130" s="28">
        <v>13500</v>
      </c>
      <c r="F130" s="3"/>
      <c r="G130" s="13">
        <f>+D130+E130-F130</f>
        <v>21000</v>
      </c>
      <c r="H130" s="9">
        <v>7500</v>
      </c>
      <c r="I130" s="3">
        <f>+G130-H130</f>
        <v>13500</v>
      </c>
      <c r="J130" s="4">
        <v>426</v>
      </c>
      <c r="K130" s="29" t="s">
        <v>149</v>
      </c>
    </row>
    <row r="131" spans="1:12" x14ac:dyDescent="0.3">
      <c r="A131" s="4">
        <v>18</v>
      </c>
      <c r="B131" s="27" t="s">
        <v>167</v>
      </c>
      <c r="C131" s="29" t="s">
        <v>47</v>
      </c>
      <c r="D131" s="9">
        <v>0</v>
      </c>
      <c r="E131" s="28">
        <v>13500</v>
      </c>
      <c r="F131" s="3"/>
      <c r="G131" s="13">
        <f>+D131+E131-F131</f>
        <v>13500</v>
      </c>
      <c r="H131" s="9"/>
      <c r="I131" s="3">
        <f>+G131-H131</f>
        <v>13500</v>
      </c>
      <c r="J131" s="4">
        <v>426</v>
      </c>
      <c r="K131" s="29" t="s">
        <v>149</v>
      </c>
    </row>
    <row r="132" spans="1:12" x14ac:dyDescent="0.3">
      <c r="A132" s="4">
        <v>19</v>
      </c>
      <c r="B132" s="27" t="s">
        <v>168</v>
      </c>
      <c r="C132" s="29" t="s">
        <v>21</v>
      </c>
      <c r="D132" s="9">
        <v>0</v>
      </c>
      <c r="E132" s="28">
        <v>9500</v>
      </c>
      <c r="F132" s="3"/>
      <c r="G132" s="13">
        <f>+D132+E132-F132</f>
        <v>9500</v>
      </c>
      <c r="H132" s="9"/>
      <c r="I132" s="3">
        <f>+G132-H132</f>
        <v>9500</v>
      </c>
      <c r="J132" s="4">
        <v>426</v>
      </c>
      <c r="K132" s="29" t="s">
        <v>69</v>
      </c>
    </row>
    <row r="133" spans="1:12" x14ac:dyDescent="0.3">
      <c r="A133" s="4">
        <v>20</v>
      </c>
      <c r="B133" s="27" t="s">
        <v>169</v>
      </c>
      <c r="C133" s="29" t="s">
        <v>75</v>
      </c>
      <c r="D133" s="4">
        <v>0</v>
      </c>
      <c r="E133" s="28">
        <v>13000</v>
      </c>
      <c r="F133" s="4"/>
      <c r="G133" s="13">
        <f>+D133+E133-F133</f>
        <v>13000</v>
      </c>
      <c r="H133" s="4"/>
      <c r="I133" s="3">
        <f>+G133-H133</f>
        <v>13000</v>
      </c>
      <c r="J133" s="4">
        <v>426</v>
      </c>
      <c r="K133" s="27" t="s">
        <v>170</v>
      </c>
    </row>
    <row r="134" spans="1:12" x14ac:dyDescent="0.3">
      <c r="A134" s="4">
        <v>21</v>
      </c>
      <c r="B134" s="30" t="s">
        <v>171</v>
      </c>
      <c r="C134" s="38" t="s">
        <v>43</v>
      </c>
      <c r="D134" s="9">
        <v>4000</v>
      </c>
      <c r="E134" s="28">
        <v>9500</v>
      </c>
      <c r="F134" s="3"/>
      <c r="G134" s="13">
        <f>+D134+E134-F134</f>
        <v>13500</v>
      </c>
      <c r="H134" s="9">
        <v>4000</v>
      </c>
      <c r="I134" s="3">
        <f>+G134-H134</f>
        <v>9500</v>
      </c>
      <c r="J134" s="4">
        <v>426</v>
      </c>
      <c r="K134" s="30" t="s">
        <v>69</v>
      </c>
    </row>
    <row r="135" spans="1:12" x14ac:dyDescent="0.3">
      <c r="A135" s="4">
        <v>22</v>
      </c>
      <c r="B135" s="27" t="s">
        <v>172</v>
      </c>
      <c r="C135" s="27" t="s">
        <v>26</v>
      </c>
      <c r="D135" s="4">
        <v>6000</v>
      </c>
      <c r="E135" s="28">
        <v>13000</v>
      </c>
      <c r="F135" s="4"/>
      <c r="G135" s="13">
        <f>+D135+E135-F135</f>
        <v>19000</v>
      </c>
      <c r="H135" s="4">
        <v>6000</v>
      </c>
      <c r="I135" s="3">
        <f>+G135-H135</f>
        <v>13000</v>
      </c>
      <c r="J135" s="4">
        <v>426</v>
      </c>
      <c r="K135" s="29" t="s">
        <v>173</v>
      </c>
    </row>
    <row r="136" spans="1:12" x14ac:dyDescent="0.3">
      <c r="A136" s="4">
        <v>23</v>
      </c>
      <c r="B136" s="27" t="s">
        <v>174</v>
      </c>
      <c r="C136" s="27" t="s">
        <v>16</v>
      </c>
      <c r="D136" s="4">
        <v>0</v>
      </c>
      <c r="E136" s="28">
        <v>13500</v>
      </c>
      <c r="F136" s="4"/>
      <c r="G136" s="13">
        <f>+D136+E136-F136</f>
        <v>13500</v>
      </c>
      <c r="H136" s="4"/>
      <c r="I136" s="3">
        <f>+G136-H136</f>
        <v>13500</v>
      </c>
      <c r="J136" s="4">
        <v>426</v>
      </c>
      <c r="K136" s="33" t="s">
        <v>147</v>
      </c>
    </row>
    <row r="137" spans="1:12" x14ac:dyDescent="0.3">
      <c r="A137" s="4">
        <v>24</v>
      </c>
      <c r="B137" s="30" t="s">
        <v>175</v>
      </c>
      <c r="C137" s="27" t="s">
        <v>43</v>
      </c>
      <c r="D137" s="4">
        <v>1000</v>
      </c>
      <c r="E137" s="28">
        <v>9500</v>
      </c>
      <c r="F137" s="4"/>
      <c r="G137" s="13">
        <f>+D137+E137-F137</f>
        <v>10500</v>
      </c>
      <c r="H137" s="4">
        <v>1000</v>
      </c>
      <c r="I137" s="3">
        <f>+G137-H137</f>
        <v>9500</v>
      </c>
      <c r="J137" s="4">
        <v>426</v>
      </c>
      <c r="K137" s="30" t="s">
        <v>69</v>
      </c>
    </row>
    <row r="138" spans="1:12" x14ac:dyDescent="0.3">
      <c r="A138" s="4">
        <v>25</v>
      </c>
      <c r="B138" s="27" t="s">
        <v>176</v>
      </c>
      <c r="C138" s="29" t="s">
        <v>43</v>
      </c>
      <c r="D138" s="9">
        <v>7500</v>
      </c>
      <c r="E138" s="28">
        <v>13500</v>
      </c>
      <c r="F138" s="3"/>
      <c r="G138" s="13">
        <f>+D138+E138-F138</f>
        <v>21000</v>
      </c>
      <c r="H138" s="9">
        <v>7500</v>
      </c>
      <c r="I138" s="3">
        <f>+G138-H138</f>
        <v>13500</v>
      </c>
      <c r="J138" s="4">
        <v>426</v>
      </c>
      <c r="K138" s="29" t="s">
        <v>149</v>
      </c>
    </row>
    <row r="139" spans="1:12" x14ac:dyDescent="0.3">
      <c r="A139" s="4">
        <v>26</v>
      </c>
      <c r="B139" s="27" t="s">
        <v>177</v>
      </c>
      <c r="C139" s="29" t="s">
        <v>26</v>
      </c>
      <c r="D139" s="9">
        <v>0</v>
      </c>
      <c r="E139" s="28">
        <v>15000</v>
      </c>
      <c r="F139" s="3"/>
      <c r="G139" s="13">
        <f>+D139+E139-F139</f>
        <v>15000</v>
      </c>
      <c r="H139" s="9"/>
      <c r="I139" s="3">
        <f>+G139-H139</f>
        <v>15000</v>
      </c>
      <c r="J139" s="4">
        <v>426</v>
      </c>
      <c r="K139" s="29" t="s">
        <v>165</v>
      </c>
    </row>
    <row r="140" spans="1:12" x14ac:dyDescent="0.3">
      <c r="A140" s="4">
        <v>27</v>
      </c>
      <c r="B140" s="27" t="s">
        <v>178</v>
      </c>
      <c r="C140" s="30" t="s">
        <v>47</v>
      </c>
      <c r="D140" s="10">
        <v>0</v>
      </c>
      <c r="E140" s="28">
        <v>13500</v>
      </c>
      <c r="F140" s="10"/>
      <c r="G140" s="13">
        <f>+D140+E140-F140</f>
        <v>13500</v>
      </c>
      <c r="H140" s="10"/>
      <c r="I140" s="3">
        <f>+G140-H140</f>
        <v>13500</v>
      </c>
      <c r="J140" s="4">
        <v>426</v>
      </c>
      <c r="K140" s="29" t="s">
        <v>145</v>
      </c>
    </row>
    <row r="141" spans="1:12" x14ac:dyDescent="0.3">
      <c r="A141" s="4">
        <v>28</v>
      </c>
      <c r="B141" s="27" t="s">
        <v>179</v>
      </c>
      <c r="C141" s="29" t="s">
        <v>33</v>
      </c>
      <c r="D141" s="9">
        <v>7499</v>
      </c>
      <c r="E141" s="28">
        <v>13500</v>
      </c>
      <c r="F141" s="3"/>
      <c r="G141" s="13">
        <f>+D141+E141-F141</f>
        <v>20999</v>
      </c>
      <c r="H141" s="9"/>
      <c r="I141" s="3">
        <f>+G141-H141</f>
        <v>20999</v>
      </c>
      <c r="J141" s="4">
        <v>426</v>
      </c>
      <c r="K141" s="29" t="s">
        <v>149</v>
      </c>
    </row>
    <row r="142" spans="1:12" x14ac:dyDescent="0.3">
      <c r="A142" s="35"/>
      <c r="B142" s="35"/>
      <c r="C142" s="35"/>
      <c r="D142" s="37">
        <f t="shared" ref="D142:I142" si="2">SUM(D114:D141)</f>
        <v>63749</v>
      </c>
      <c r="E142" s="37">
        <f t="shared" si="2"/>
        <v>344500</v>
      </c>
      <c r="F142" s="37">
        <f t="shared" si="2"/>
        <v>0</v>
      </c>
      <c r="G142" s="37">
        <f t="shared" si="2"/>
        <v>408249</v>
      </c>
      <c r="H142" s="37">
        <f t="shared" si="2"/>
        <v>47000</v>
      </c>
      <c r="I142" s="37">
        <f t="shared" si="2"/>
        <v>361249</v>
      </c>
      <c r="J142" s="35"/>
      <c r="K142" s="35"/>
    </row>
    <row r="143" spans="1:12" x14ac:dyDescent="0.3">
      <c r="A143" s="1" t="s">
        <v>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2" ht="20.25" customHeight="1" x14ac:dyDescent="0.3">
      <c r="A144" s="2" t="s">
        <v>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7.25" customHeight="1" x14ac:dyDescent="0.3">
      <c r="A145" s="1" t="s">
        <v>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40.5" customHeight="1" x14ac:dyDescent="0.3">
      <c r="A146" s="3" t="s">
        <v>3</v>
      </c>
      <c r="B146" s="3" t="s">
        <v>4</v>
      </c>
      <c r="C146" s="3" t="s">
        <v>5</v>
      </c>
      <c r="D146" s="3" t="s">
        <v>6</v>
      </c>
      <c r="E146" s="3" t="s">
        <v>7</v>
      </c>
      <c r="F146" s="3" t="s">
        <v>8</v>
      </c>
      <c r="G146" s="3" t="s">
        <v>9</v>
      </c>
      <c r="H146" s="3" t="s">
        <v>10</v>
      </c>
      <c r="I146" s="3" t="s">
        <v>11</v>
      </c>
      <c r="J146" s="3" t="s">
        <v>12</v>
      </c>
      <c r="K146" s="3" t="s">
        <v>13</v>
      </c>
    </row>
    <row r="147" spans="1:11" x14ac:dyDescent="0.3">
      <c r="A147" s="9">
        <v>1</v>
      </c>
      <c r="B147" s="27" t="s">
        <v>180</v>
      </c>
      <c r="C147" s="27" t="s">
        <v>16</v>
      </c>
      <c r="D147" s="4">
        <v>0</v>
      </c>
      <c r="E147" s="28">
        <v>17000</v>
      </c>
      <c r="F147" s="4"/>
      <c r="G147" s="13">
        <f>+D147+E147-F147</f>
        <v>17000</v>
      </c>
      <c r="H147" s="4"/>
      <c r="I147" s="3">
        <f>+G147-H147</f>
        <v>17000</v>
      </c>
      <c r="J147" s="4">
        <v>423</v>
      </c>
      <c r="K147" s="27" t="s">
        <v>181</v>
      </c>
    </row>
    <row r="148" spans="1:11" x14ac:dyDescent="0.3">
      <c r="A148" s="9">
        <v>2</v>
      </c>
      <c r="B148" s="27" t="s">
        <v>182</v>
      </c>
      <c r="C148" s="30" t="s">
        <v>33</v>
      </c>
      <c r="D148" s="10">
        <v>0</v>
      </c>
      <c r="E148" s="28">
        <v>21000</v>
      </c>
      <c r="F148" s="10"/>
      <c r="G148" s="13">
        <f>+D148+E148-F148</f>
        <v>21000</v>
      </c>
      <c r="H148" s="10"/>
      <c r="I148" s="3">
        <f>+G148-H148</f>
        <v>21000</v>
      </c>
      <c r="J148" s="4">
        <v>423</v>
      </c>
      <c r="K148" s="29" t="s">
        <v>183</v>
      </c>
    </row>
    <row r="149" spans="1:11" x14ac:dyDescent="0.3">
      <c r="A149" s="9">
        <v>3</v>
      </c>
      <c r="B149" s="41" t="s">
        <v>184</v>
      </c>
      <c r="C149" s="27" t="s">
        <v>26</v>
      </c>
      <c r="D149" s="42">
        <v>0</v>
      </c>
      <c r="E149" s="28">
        <v>19000</v>
      </c>
      <c r="F149" s="3"/>
      <c r="G149" s="13">
        <f>+D149+E149-F149</f>
        <v>19000</v>
      </c>
      <c r="H149" s="9"/>
      <c r="I149" s="3">
        <f>+G149-H149</f>
        <v>19000</v>
      </c>
      <c r="J149" s="4">
        <v>423</v>
      </c>
      <c r="K149" s="29" t="s">
        <v>185</v>
      </c>
    </row>
    <row r="150" spans="1:11" x14ac:dyDescent="0.3">
      <c r="A150" s="9">
        <v>4</v>
      </c>
      <c r="B150" s="27" t="s">
        <v>186</v>
      </c>
      <c r="C150" s="38" t="s">
        <v>29</v>
      </c>
      <c r="D150" s="9">
        <v>14500</v>
      </c>
      <c r="E150" s="28">
        <v>21000</v>
      </c>
      <c r="F150" s="3"/>
      <c r="G150" s="13">
        <f>+D150+E150-F150</f>
        <v>35500</v>
      </c>
      <c r="H150" s="9">
        <v>14500</v>
      </c>
      <c r="I150" s="3">
        <f>+G150-H150</f>
        <v>21000</v>
      </c>
      <c r="J150" s="4">
        <v>423</v>
      </c>
      <c r="K150" s="27" t="s">
        <v>187</v>
      </c>
    </row>
    <row r="151" spans="1:11" x14ac:dyDescent="0.3">
      <c r="A151" s="9">
        <v>5</v>
      </c>
      <c r="B151" s="30" t="s">
        <v>188</v>
      </c>
      <c r="C151" s="31" t="s">
        <v>26</v>
      </c>
      <c r="D151" s="32">
        <v>9500</v>
      </c>
      <c r="E151" s="28">
        <v>19000</v>
      </c>
      <c r="F151" s="32"/>
      <c r="G151" s="13">
        <f>+D151+E151-F151</f>
        <v>28500</v>
      </c>
      <c r="H151" s="32"/>
      <c r="I151" s="3">
        <f>+G151-H151</f>
        <v>28500</v>
      </c>
      <c r="J151" s="10">
        <v>423</v>
      </c>
      <c r="K151" s="30" t="s">
        <v>185</v>
      </c>
    </row>
    <row r="152" spans="1:11" x14ac:dyDescent="0.3">
      <c r="A152" s="9">
        <v>6</v>
      </c>
      <c r="B152" s="30" t="s">
        <v>192</v>
      </c>
      <c r="C152" s="27" t="s">
        <v>193</v>
      </c>
      <c r="D152" s="4">
        <v>0</v>
      </c>
      <c r="E152" s="28">
        <v>19000</v>
      </c>
      <c r="F152" s="4"/>
      <c r="G152" s="13">
        <f>+D152+E152-F152</f>
        <v>19000</v>
      </c>
      <c r="H152" s="4"/>
      <c r="I152" s="13">
        <f>+F152+G152-H152</f>
        <v>19000</v>
      </c>
      <c r="J152" s="4">
        <v>423</v>
      </c>
      <c r="K152" s="35" t="s">
        <v>191</v>
      </c>
    </row>
    <row r="153" spans="1:11" x14ac:dyDescent="0.3">
      <c r="A153" s="9">
        <v>7</v>
      </c>
      <c r="B153" s="27" t="s">
        <v>194</v>
      </c>
      <c r="C153" s="29" t="s">
        <v>47</v>
      </c>
      <c r="D153" s="9">
        <v>20500</v>
      </c>
      <c r="E153" s="28">
        <v>19000</v>
      </c>
      <c r="F153" s="3"/>
      <c r="G153" s="13">
        <f>+D153+E153-F153</f>
        <v>39500</v>
      </c>
      <c r="H153" s="9"/>
      <c r="I153" s="3">
        <f>+G153-H153</f>
        <v>39500</v>
      </c>
      <c r="J153" s="4">
        <v>423</v>
      </c>
      <c r="K153" s="29" t="s">
        <v>191</v>
      </c>
    </row>
    <row r="154" spans="1:11" x14ac:dyDescent="0.3">
      <c r="A154" s="9">
        <v>8</v>
      </c>
      <c r="B154" s="30" t="s">
        <v>195</v>
      </c>
      <c r="C154" s="38" t="s">
        <v>33</v>
      </c>
      <c r="D154" s="9">
        <v>19000</v>
      </c>
      <c r="E154" s="28">
        <v>20000</v>
      </c>
      <c r="F154" s="3"/>
      <c r="G154" s="13">
        <f>+D154+E154-F154</f>
        <v>39000</v>
      </c>
      <c r="H154" s="9">
        <v>19000</v>
      </c>
      <c r="I154" s="3">
        <f>+G154-H154</f>
        <v>20000</v>
      </c>
      <c r="J154" s="4">
        <v>423</v>
      </c>
      <c r="K154" s="30" t="s">
        <v>196</v>
      </c>
    </row>
    <row r="155" spans="1:11" x14ac:dyDescent="0.3">
      <c r="A155" s="9">
        <v>9</v>
      </c>
      <c r="B155" s="27" t="s">
        <v>197</v>
      </c>
      <c r="C155" s="27" t="s">
        <v>29</v>
      </c>
      <c r="D155" s="4">
        <v>0</v>
      </c>
      <c r="E155" s="28">
        <v>19000</v>
      </c>
      <c r="F155" s="4"/>
      <c r="G155" s="13">
        <f>+D155+E155-F155</f>
        <v>19000</v>
      </c>
      <c r="H155" s="4"/>
      <c r="I155" s="3">
        <f>+G155-H155</f>
        <v>19000</v>
      </c>
      <c r="J155" s="4">
        <v>423</v>
      </c>
      <c r="K155" s="30" t="s">
        <v>185</v>
      </c>
    </row>
    <row r="156" spans="1:11" x14ac:dyDescent="0.3">
      <c r="A156" s="9">
        <v>10</v>
      </c>
      <c r="B156" s="27" t="s">
        <v>200</v>
      </c>
      <c r="C156" s="27" t="s">
        <v>24</v>
      </c>
      <c r="D156" s="4">
        <v>9000</v>
      </c>
      <c r="E156" s="28">
        <v>19000</v>
      </c>
      <c r="F156" s="4"/>
      <c r="G156" s="13">
        <f>+D156+E156-F156</f>
        <v>28000</v>
      </c>
      <c r="H156" s="4">
        <v>9000</v>
      </c>
      <c r="I156" s="3">
        <f>+G156-H156</f>
        <v>19000</v>
      </c>
      <c r="J156" s="4">
        <v>423</v>
      </c>
      <c r="K156" s="27" t="s">
        <v>191</v>
      </c>
    </row>
    <row r="157" spans="1:11" x14ac:dyDescent="0.3">
      <c r="A157" s="9">
        <v>11</v>
      </c>
      <c r="B157" s="30" t="s">
        <v>201</v>
      </c>
      <c r="C157" s="30" t="s">
        <v>16</v>
      </c>
      <c r="D157" s="10">
        <v>2000</v>
      </c>
      <c r="E157" s="28">
        <v>19000</v>
      </c>
      <c r="F157" s="10"/>
      <c r="G157" s="13">
        <f>+D157+E157-F157</f>
        <v>21000</v>
      </c>
      <c r="H157" s="10"/>
      <c r="I157" s="3">
        <f>+G157-H157</f>
        <v>21000</v>
      </c>
      <c r="J157" s="10">
        <v>423</v>
      </c>
      <c r="K157" s="30" t="s">
        <v>185</v>
      </c>
    </row>
    <row r="158" spans="1:11" x14ac:dyDescent="0.3">
      <c r="A158" s="9">
        <v>12</v>
      </c>
      <c r="B158" s="27" t="s">
        <v>202</v>
      </c>
      <c r="C158" s="30" t="s">
        <v>33</v>
      </c>
      <c r="D158" s="10">
        <v>0</v>
      </c>
      <c r="E158" s="28">
        <v>19000</v>
      </c>
      <c r="F158" s="10"/>
      <c r="G158" s="13">
        <f>+D158+E158-F158</f>
        <v>19000</v>
      </c>
      <c r="H158" s="10"/>
      <c r="I158" s="3">
        <f>+G158-H158</f>
        <v>19000</v>
      </c>
      <c r="J158" s="4">
        <v>423</v>
      </c>
      <c r="K158" s="29" t="s">
        <v>191</v>
      </c>
    </row>
    <row r="159" spans="1:11" x14ac:dyDescent="0.3">
      <c r="A159" s="9">
        <v>13</v>
      </c>
      <c r="B159" s="27" t="s">
        <v>203</v>
      </c>
      <c r="C159" s="29" t="s">
        <v>19</v>
      </c>
      <c r="D159" s="4">
        <v>0</v>
      </c>
      <c r="E159" s="28">
        <v>19000</v>
      </c>
      <c r="F159" s="3"/>
      <c r="G159" s="13">
        <f>+D159+E159-F159</f>
        <v>19000</v>
      </c>
      <c r="H159" s="9"/>
      <c r="I159" s="3">
        <f>+G159-H159</f>
        <v>19000</v>
      </c>
      <c r="J159" s="4">
        <v>423</v>
      </c>
      <c r="K159" s="29" t="s">
        <v>185</v>
      </c>
    </row>
    <row r="160" spans="1:11" x14ac:dyDescent="0.3">
      <c r="A160" s="9">
        <v>14</v>
      </c>
      <c r="B160" s="27" t="s">
        <v>198</v>
      </c>
      <c r="C160" s="27" t="s">
        <v>16</v>
      </c>
      <c r="D160" s="4">
        <v>0</v>
      </c>
      <c r="E160" s="28">
        <v>19000</v>
      </c>
      <c r="F160" s="4"/>
      <c r="G160" s="13">
        <f>+D160+E160-F160</f>
        <v>19000</v>
      </c>
      <c r="H160" s="4"/>
      <c r="I160" s="3">
        <f>+G160-H160</f>
        <v>19000</v>
      </c>
      <c r="J160" s="4">
        <v>423</v>
      </c>
      <c r="K160" s="30" t="s">
        <v>185</v>
      </c>
    </row>
    <row r="161" spans="1:11" x14ac:dyDescent="0.3">
      <c r="A161" s="9">
        <v>15</v>
      </c>
      <c r="B161" s="27" t="s">
        <v>204</v>
      </c>
      <c r="C161" s="29" t="s">
        <v>33</v>
      </c>
      <c r="D161" s="9">
        <v>0</v>
      </c>
      <c r="E161" s="28">
        <v>17000</v>
      </c>
      <c r="F161" s="3"/>
      <c r="G161" s="13">
        <f>+D161+E161-F161</f>
        <v>17000</v>
      </c>
      <c r="H161" s="9"/>
      <c r="I161" s="3">
        <f>+G161-H161</f>
        <v>17000</v>
      </c>
      <c r="J161" s="4">
        <v>423</v>
      </c>
      <c r="K161" s="29" t="s">
        <v>181</v>
      </c>
    </row>
    <row r="162" spans="1:11" x14ac:dyDescent="0.3">
      <c r="A162" s="9">
        <v>16</v>
      </c>
      <c r="B162" s="27" t="s">
        <v>205</v>
      </c>
      <c r="C162" s="27" t="s">
        <v>29</v>
      </c>
      <c r="D162" s="4">
        <v>0</v>
      </c>
      <c r="E162" s="28">
        <v>19000</v>
      </c>
      <c r="F162" s="4"/>
      <c r="G162" s="13">
        <f>+D162+E162-F162</f>
        <v>19000</v>
      </c>
      <c r="H162" s="4"/>
      <c r="I162" s="3">
        <f>+G162-H162</f>
        <v>19000</v>
      </c>
      <c r="J162" s="4">
        <v>423</v>
      </c>
      <c r="K162" s="33" t="s">
        <v>185</v>
      </c>
    </row>
    <row r="163" spans="1:11" x14ac:dyDescent="0.3">
      <c r="A163" s="9">
        <v>17</v>
      </c>
      <c r="B163" s="27" t="s">
        <v>206</v>
      </c>
      <c r="C163" s="27" t="s">
        <v>16</v>
      </c>
      <c r="D163" s="4">
        <v>0</v>
      </c>
      <c r="E163" s="28">
        <v>19000</v>
      </c>
      <c r="F163" s="3"/>
      <c r="G163" s="13">
        <f>+D163+E163-F163</f>
        <v>19000</v>
      </c>
      <c r="H163" s="9">
        <v>5000</v>
      </c>
      <c r="I163" s="13">
        <f>+F163+G163-H163</f>
        <v>14000</v>
      </c>
      <c r="J163" s="4">
        <v>423</v>
      </c>
      <c r="K163" s="29" t="s">
        <v>191</v>
      </c>
    </row>
    <row r="164" spans="1:11" x14ac:dyDescent="0.3">
      <c r="A164" s="9">
        <v>18</v>
      </c>
      <c r="B164" s="27" t="s">
        <v>207</v>
      </c>
      <c r="C164" s="27" t="s">
        <v>29</v>
      </c>
      <c r="D164" s="4">
        <v>0</v>
      </c>
      <c r="E164" s="28">
        <v>19000</v>
      </c>
      <c r="F164" s="4"/>
      <c r="G164" s="13">
        <f>+D164+E164-F164</f>
        <v>19000</v>
      </c>
      <c r="H164" s="4"/>
      <c r="I164" s="3">
        <f>+G164-H164</f>
        <v>19000</v>
      </c>
      <c r="J164" s="4">
        <v>423</v>
      </c>
      <c r="K164" s="29" t="s">
        <v>185</v>
      </c>
    </row>
    <row r="165" spans="1:11" x14ac:dyDescent="0.3">
      <c r="A165" s="9">
        <v>19</v>
      </c>
      <c r="B165" s="27" t="s">
        <v>208</v>
      </c>
      <c r="C165" s="27" t="s">
        <v>29</v>
      </c>
      <c r="D165" s="4">
        <v>0</v>
      </c>
      <c r="E165" s="28">
        <v>19000</v>
      </c>
      <c r="F165" s="4"/>
      <c r="G165" s="13">
        <f>+D165+E165-F165</f>
        <v>19000</v>
      </c>
      <c r="H165" s="4"/>
      <c r="I165" s="3">
        <f>+G165-H165</f>
        <v>19000</v>
      </c>
      <c r="J165" s="4">
        <v>423</v>
      </c>
      <c r="K165" s="29" t="s">
        <v>185</v>
      </c>
    </row>
    <row r="166" spans="1:11" x14ac:dyDescent="0.3">
      <c r="A166" s="9">
        <v>20</v>
      </c>
      <c r="B166" s="30" t="s">
        <v>209</v>
      </c>
      <c r="C166" s="38" t="s">
        <v>33</v>
      </c>
      <c r="D166" s="9">
        <v>0</v>
      </c>
      <c r="E166" s="28">
        <v>21000</v>
      </c>
      <c r="F166" s="3"/>
      <c r="G166" s="13">
        <f>+D166+E166-F166</f>
        <v>21000</v>
      </c>
      <c r="H166" s="9"/>
      <c r="I166" s="3">
        <f>+G166-H166</f>
        <v>21000</v>
      </c>
      <c r="J166" s="4">
        <v>423</v>
      </c>
      <c r="K166" s="29" t="s">
        <v>183</v>
      </c>
    </row>
    <row r="167" spans="1:11" x14ac:dyDescent="0.3">
      <c r="A167" s="9">
        <v>21</v>
      </c>
      <c r="B167" s="27" t="s">
        <v>210</v>
      </c>
      <c r="C167" s="29" t="s">
        <v>31</v>
      </c>
      <c r="D167" s="9">
        <v>32000</v>
      </c>
      <c r="E167" s="28">
        <v>17000</v>
      </c>
      <c r="F167" s="3"/>
      <c r="G167" s="13">
        <f>+D167+E167-F167</f>
        <v>49000</v>
      </c>
      <c r="H167" s="3"/>
      <c r="I167" s="3">
        <f>+G167-H167</f>
        <v>49000</v>
      </c>
      <c r="J167" s="4">
        <v>423</v>
      </c>
      <c r="K167" s="29" t="s">
        <v>211</v>
      </c>
    </row>
    <row r="168" spans="1:11" x14ac:dyDescent="0.3">
      <c r="A168" s="9">
        <v>22</v>
      </c>
      <c r="B168" s="30" t="s">
        <v>212</v>
      </c>
      <c r="C168" s="31" t="s">
        <v>31</v>
      </c>
      <c r="D168" s="32">
        <v>13000</v>
      </c>
      <c r="E168" s="28">
        <v>19000</v>
      </c>
      <c r="F168" s="32"/>
      <c r="G168" s="13">
        <f>+D168+E168-F168</f>
        <v>32000</v>
      </c>
      <c r="H168" s="32"/>
      <c r="I168" s="3">
        <f>+G168-H168</f>
        <v>32000</v>
      </c>
      <c r="J168" s="10">
        <v>423</v>
      </c>
      <c r="K168" s="30" t="s">
        <v>185</v>
      </c>
    </row>
    <row r="169" spans="1:11" x14ac:dyDescent="0.3">
      <c r="A169" s="9">
        <v>23</v>
      </c>
      <c r="B169" s="30" t="s">
        <v>213</v>
      </c>
      <c r="C169" s="27" t="s">
        <v>29</v>
      </c>
      <c r="D169" s="4">
        <v>2000</v>
      </c>
      <c r="E169" s="28">
        <v>19000</v>
      </c>
      <c r="F169" s="4"/>
      <c r="G169" s="13">
        <f>+D169+E169-F169</f>
        <v>21000</v>
      </c>
      <c r="H169" s="4"/>
      <c r="I169" s="3">
        <f>+G169-H169</f>
        <v>21000</v>
      </c>
      <c r="J169" s="4">
        <v>423</v>
      </c>
      <c r="K169" s="30" t="s">
        <v>185</v>
      </c>
    </row>
    <row r="170" spans="1:11" x14ac:dyDescent="0.3">
      <c r="A170" s="9">
        <v>24</v>
      </c>
      <c r="B170" s="27" t="s">
        <v>214</v>
      </c>
      <c r="C170" s="29" t="s">
        <v>29</v>
      </c>
      <c r="D170" s="9">
        <v>9000</v>
      </c>
      <c r="E170" s="28">
        <v>19000</v>
      </c>
      <c r="F170" s="3"/>
      <c r="G170" s="13">
        <f>+D170+E170-F170</f>
        <v>28000</v>
      </c>
      <c r="H170" s="9"/>
      <c r="I170" s="3">
        <f>+G170-H170</f>
        <v>28000</v>
      </c>
      <c r="J170" s="4">
        <v>423</v>
      </c>
      <c r="K170" s="29" t="s">
        <v>185</v>
      </c>
    </row>
    <row r="171" spans="1:11" x14ac:dyDescent="0.3">
      <c r="A171" s="9">
        <v>25</v>
      </c>
      <c r="B171" s="27" t="s">
        <v>199</v>
      </c>
      <c r="C171" s="29" t="s">
        <v>19</v>
      </c>
      <c r="D171" s="4">
        <v>0</v>
      </c>
      <c r="E171" s="28">
        <v>19000</v>
      </c>
      <c r="F171" s="4"/>
      <c r="G171" s="13">
        <f>+D171+E171-F171</f>
        <v>19000</v>
      </c>
      <c r="H171" s="4"/>
      <c r="I171" s="3">
        <f>+G171-H171</f>
        <v>19000</v>
      </c>
      <c r="J171" s="4">
        <v>423</v>
      </c>
      <c r="K171" s="30" t="s">
        <v>185</v>
      </c>
    </row>
    <row r="172" spans="1:11" x14ac:dyDescent="0.3">
      <c r="A172" s="9">
        <v>26</v>
      </c>
      <c r="B172" s="27" t="s">
        <v>215</v>
      </c>
      <c r="C172" s="29" t="s">
        <v>19</v>
      </c>
      <c r="D172" s="9">
        <v>32000</v>
      </c>
      <c r="E172" s="28">
        <v>17000</v>
      </c>
      <c r="F172" s="3"/>
      <c r="G172" s="13">
        <f>+D172+E172-F172</f>
        <v>49000</v>
      </c>
      <c r="H172" s="3"/>
      <c r="I172" s="3">
        <f>+G172-H172</f>
        <v>49000</v>
      </c>
      <c r="J172" s="4">
        <v>423</v>
      </c>
      <c r="K172" s="29" t="s">
        <v>211</v>
      </c>
    </row>
    <row r="173" spans="1:11" x14ac:dyDescent="0.3">
      <c r="A173" s="9">
        <v>27</v>
      </c>
      <c r="B173" s="30" t="s">
        <v>189</v>
      </c>
      <c r="C173" s="27" t="s">
        <v>16</v>
      </c>
      <c r="D173" s="4">
        <v>0</v>
      </c>
      <c r="E173" s="28">
        <v>19000</v>
      </c>
      <c r="F173" s="32"/>
      <c r="G173" s="13">
        <f>+D173+E173-F173</f>
        <v>19000</v>
      </c>
      <c r="H173" s="32" t="s">
        <v>190</v>
      </c>
      <c r="I173" s="3">
        <f>+G173-H173</f>
        <v>14000</v>
      </c>
      <c r="J173" s="4">
        <v>423</v>
      </c>
      <c r="K173" s="35" t="s">
        <v>191</v>
      </c>
    </row>
    <row r="174" spans="1:11" x14ac:dyDescent="0.3">
      <c r="A174" s="9">
        <v>28</v>
      </c>
      <c r="B174" s="27" t="s">
        <v>216</v>
      </c>
      <c r="C174" s="27" t="s">
        <v>26</v>
      </c>
      <c r="D174" s="4">
        <v>0</v>
      </c>
      <c r="E174" s="28">
        <v>21000</v>
      </c>
      <c r="F174" s="4"/>
      <c r="G174" s="13">
        <f>+D174+E174-F174</f>
        <v>21000</v>
      </c>
      <c r="H174" s="4"/>
      <c r="I174" s="3">
        <f>+G174-H174</f>
        <v>21000</v>
      </c>
      <c r="J174" s="4">
        <v>423</v>
      </c>
      <c r="K174" s="29" t="s">
        <v>183</v>
      </c>
    </row>
    <row r="175" spans="1:11" x14ac:dyDescent="0.3">
      <c r="A175" s="9">
        <v>29</v>
      </c>
      <c r="B175" s="27" t="s">
        <v>217</v>
      </c>
      <c r="C175" s="27" t="s">
        <v>26</v>
      </c>
      <c r="D175" s="4">
        <v>8000</v>
      </c>
      <c r="E175" s="28">
        <v>17000</v>
      </c>
      <c r="F175" s="4"/>
      <c r="G175" s="13">
        <f>+D175+E175-F175</f>
        <v>25000</v>
      </c>
      <c r="H175" s="4"/>
      <c r="I175" s="3">
        <f>+G175-H175</f>
        <v>25000</v>
      </c>
      <c r="J175" s="4">
        <v>423</v>
      </c>
      <c r="K175" s="29" t="s">
        <v>181</v>
      </c>
    </row>
    <row r="176" spans="1:11" x14ac:dyDescent="0.3">
      <c r="A176" s="9">
        <v>30</v>
      </c>
      <c r="B176" s="30" t="s">
        <v>218</v>
      </c>
      <c r="C176" s="38" t="s">
        <v>29</v>
      </c>
      <c r="D176" s="9">
        <v>9000</v>
      </c>
      <c r="E176" s="28">
        <v>19000</v>
      </c>
      <c r="F176" s="3"/>
      <c r="G176" s="13">
        <f>+D176+E176-F176</f>
        <v>28000</v>
      </c>
      <c r="H176" s="9">
        <v>9000</v>
      </c>
      <c r="I176" s="3">
        <f>+G176-H176</f>
        <v>19000</v>
      </c>
      <c r="J176" s="4">
        <v>423</v>
      </c>
      <c r="K176" s="30" t="s">
        <v>185</v>
      </c>
    </row>
    <row r="177" spans="1:12" x14ac:dyDescent="0.3">
      <c r="A177" s="35"/>
      <c r="B177" s="35"/>
      <c r="C177" s="35"/>
      <c r="D177" s="37">
        <f t="shared" ref="D177:I177" si="3">SUM(D147:D176)</f>
        <v>179500</v>
      </c>
      <c r="E177" s="37">
        <f t="shared" si="3"/>
        <v>569000</v>
      </c>
      <c r="F177" s="37">
        <f t="shared" si="3"/>
        <v>0</v>
      </c>
      <c r="G177" s="37">
        <f t="shared" si="3"/>
        <v>748500</v>
      </c>
      <c r="H177" s="37">
        <f t="shared" si="3"/>
        <v>56500</v>
      </c>
      <c r="I177" s="37">
        <f t="shared" si="3"/>
        <v>687000</v>
      </c>
      <c r="J177" s="35"/>
      <c r="K177" s="35"/>
    </row>
    <row r="178" spans="1:12" x14ac:dyDescent="0.3">
      <c r="A178" s="1" t="s">
        <v>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2" ht="20.25" customHeight="1" x14ac:dyDescent="0.3">
      <c r="A179" s="2" t="s">
        <v>1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2" ht="17.25" customHeight="1" x14ac:dyDescent="0.3">
      <c r="A180" s="1" t="s">
        <v>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2" ht="41.25" customHeight="1" x14ac:dyDescent="0.3">
      <c r="A181" s="3" t="s">
        <v>3</v>
      </c>
      <c r="B181" s="3" t="s">
        <v>4</v>
      </c>
      <c r="C181" s="3" t="s">
        <v>5</v>
      </c>
      <c r="D181" s="3" t="s">
        <v>6</v>
      </c>
      <c r="E181" s="3" t="s">
        <v>7</v>
      </c>
      <c r="F181" s="3" t="s">
        <v>8</v>
      </c>
      <c r="G181" s="3" t="s">
        <v>9</v>
      </c>
      <c r="H181" s="3" t="s">
        <v>10</v>
      </c>
      <c r="I181" s="3" t="s">
        <v>11</v>
      </c>
      <c r="J181" s="3" t="s">
        <v>12</v>
      </c>
      <c r="K181" s="3" t="s">
        <v>13</v>
      </c>
      <c r="L181" s="26" t="s">
        <v>14</v>
      </c>
    </row>
    <row r="182" spans="1:12" x14ac:dyDescent="0.3">
      <c r="A182" s="9">
        <v>1</v>
      </c>
      <c r="B182" s="38" t="s">
        <v>219</v>
      </c>
      <c r="C182" s="30" t="s">
        <v>16</v>
      </c>
      <c r="D182" s="10">
        <v>0</v>
      </c>
      <c r="E182" s="28">
        <v>14500</v>
      </c>
      <c r="F182" s="10"/>
      <c r="G182" s="13">
        <f>+D182+E182-F182</f>
        <v>14500</v>
      </c>
      <c r="H182" s="10"/>
      <c r="I182" s="3">
        <f>+G182-H182</f>
        <v>14500</v>
      </c>
      <c r="J182" s="10">
        <v>699</v>
      </c>
      <c r="K182" s="30" t="s">
        <v>220</v>
      </c>
    </row>
    <row r="183" spans="1:12" x14ac:dyDescent="0.3">
      <c r="A183" s="9">
        <v>2</v>
      </c>
      <c r="B183" s="30" t="s">
        <v>224</v>
      </c>
      <c r="C183" s="27" t="s">
        <v>29</v>
      </c>
      <c r="D183" s="4">
        <v>0</v>
      </c>
      <c r="E183" s="28">
        <v>14500</v>
      </c>
      <c r="F183" s="4"/>
      <c r="G183" s="13">
        <f>+D183+E183-F183</f>
        <v>14500</v>
      </c>
      <c r="H183" s="4"/>
      <c r="I183" s="3">
        <f>+G183-H183</f>
        <v>14500</v>
      </c>
      <c r="J183" s="4">
        <v>699</v>
      </c>
      <c r="K183" s="30" t="s">
        <v>225</v>
      </c>
    </row>
    <row r="184" spans="1:12" x14ac:dyDescent="0.3">
      <c r="A184" s="9">
        <v>3</v>
      </c>
      <c r="B184" s="27" t="s">
        <v>226</v>
      </c>
      <c r="C184" s="29" t="s">
        <v>29</v>
      </c>
      <c r="D184" s="9">
        <v>0</v>
      </c>
      <c r="E184" s="28">
        <v>14500</v>
      </c>
      <c r="F184" s="3"/>
      <c r="G184" s="13">
        <f>+D184+E184-F184</f>
        <v>14500</v>
      </c>
      <c r="H184" s="9"/>
      <c r="I184" s="3">
        <f>+G184-H184</f>
        <v>14500</v>
      </c>
      <c r="J184" s="4">
        <v>699</v>
      </c>
      <c r="K184" s="29" t="s">
        <v>220</v>
      </c>
    </row>
    <row r="185" spans="1:12" x14ac:dyDescent="0.3">
      <c r="A185" s="9">
        <v>4</v>
      </c>
      <c r="B185" s="27" t="s">
        <v>227</v>
      </c>
      <c r="C185" s="29" t="s">
        <v>16</v>
      </c>
      <c r="D185" s="9">
        <v>0</v>
      </c>
      <c r="E185" s="28">
        <v>14500</v>
      </c>
      <c r="F185" s="3"/>
      <c r="G185" s="13">
        <f>+D185+E185-F185</f>
        <v>14500</v>
      </c>
      <c r="H185" s="9"/>
      <c r="I185" s="3">
        <f>+G185-H185</f>
        <v>14500</v>
      </c>
      <c r="J185" s="4">
        <v>699</v>
      </c>
      <c r="K185" s="29" t="s">
        <v>220</v>
      </c>
    </row>
    <row r="186" spans="1:12" x14ac:dyDescent="0.3">
      <c r="A186" s="9">
        <v>5</v>
      </c>
      <c r="B186" s="27" t="s">
        <v>228</v>
      </c>
      <c r="C186" s="27" t="s">
        <v>16</v>
      </c>
      <c r="D186" s="4">
        <v>0</v>
      </c>
      <c r="E186" s="28">
        <v>14500</v>
      </c>
      <c r="F186" s="4"/>
      <c r="G186" s="13">
        <f>+D186+E186-F186</f>
        <v>14500</v>
      </c>
      <c r="H186" s="4"/>
      <c r="I186" s="3">
        <f>+G186-H186</f>
        <v>14500</v>
      </c>
      <c r="J186" s="4">
        <v>699</v>
      </c>
      <c r="K186" s="29" t="s">
        <v>220</v>
      </c>
    </row>
    <row r="187" spans="1:12" x14ac:dyDescent="0.3">
      <c r="A187" s="9">
        <v>6</v>
      </c>
      <c r="B187" s="27" t="s">
        <v>229</v>
      </c>
      <c r="C187" s="27" t="s">
        <v>31</v>
      </c>
      <c r="D187" s="4">
        <v>0</v>
      </c>
      <c r="E187" s="28">
        <v>14500</v>
      </c>
      <c r="F187" s="4"/>
      <c r="G187" s="13">
        <f>+D187+E187-F187</f>
        <v>14500</v>
      </c>
      <c r="H187" s="4"/>
      <c r="I187" s="3">
        <f>+G187-H187</f>
        <v>14500</v>
      </c>
      <c r="J187" s="4">
        <v>699</v>
      </c>
      <c r="K187" s="29" t="s">
        <v>225</v>
      </c>
    </row>
    <row r="188" spans="1:12" x14ac:dyDescent="0.3">
      <c r="A188" s="9">
        <v>7</v>
      </c>
      <c r="B188" s="27" t="s">
        <v>230</v>
      </c>
      <c r="C188" s="29" t="s">
        <v>31</v>
      </c>
      <c r="D188" s="9">
        <v>7500</v>
      </c>
      <c r="E188" s="28">
        <v>14500</v>
      </c>
      <c r="F188" s="3"/>
      <c r="G188" s="13">
        <f>+D188+E188-F188</f>
        <v>22000</v>
      </c>
      <c r="H188" s="9">
        <v>6000</v>
      </c>
      <c r="I188" s="3">
        <f>+G188-H188</f>
        <v>16000</v>
      </c>
      <c r="J188" s="4">
        <v>699</v>
      </c>
      <c r="K188" s="29" t="s">
        <v>225</v>
      </c>
    </row>
    <row r="189" spans="1:12" x14ac:dyDescent="0.3">
      <c r="A189" s="9">
        <v>8</v>
      </c>
      <c r="B189" s="30" t="s">
        <v>231</v>
      </c>
      <c r="C189" s="31" t="s">
        <v>31</v>
      </c>
      <c r="D189" s="32">
        <v>0</v>
      </c>
      <c r="E189" s="28">
        <v>14500</v>
      </c>
      <c r="F189" s="32"/>
      <c r="G189" s="13">
        <f>+D189+E189-F189</f>
        <v>14500</v>
      </c>
      <c r="H189" s="4"/>
      <c r="I189" s="3">
        <f>+G189-H189</f>
        <v>14500</v>
      </c>
      <c r="J189" s="10">
        <v>699</v>
      </c>
      <c r="K189" s="30" t="s">
        <v>225</v>
      </c>
    </row>
    <row r="190" spans="1:12" x14ac:dyDescent="0.3">
      <c r="A190" s="9">
        <v>9</v>
      </c>
      <c r="B190" s="27" t="s">
        <v>232</v>
      </c>
      <c r="C190" s="30" t="s">
        <v>33</v>
      </c>
      <c r="D190" s="10">
        <v>0</v>
      </c>
      <c r="E190" s="28">
        <v>14500</v>
      </c>
      <c r="F190" s="10"/>
      <c r="G190" s="13">
        <f>+D190+E190-F190</f>
        <v>14500</v>
      </c>
      <c r="H190" s="10"/>
      <c r="I190" s="3">
        <f>+G190-H190</f>
        <v>14500</v>
      </c>
      <c r="J190" s="4">
        <v>699</v>
      </c>
      <c r="K190" s="33" t="s">
        <v>220</v>
      </c>
    </row>
    <row r="191" spans="1:12" x14ac:dyDescent="0.3">
      <c r="A191" s="9">
        <v>10</v>
      </c>
      <c r="B191" s="27" t="s">
        <v>233</v>
      </c>
      <c r="C191" s="29" t="s">
        <v>24</v>
      </c>
      <c r="D191" s="9">
        <v>0</v>
      </c>
      <c r="E191" s="28">
        <v>14500</v>
      </c>
      <c r="F191" s="3"/>
      <c r="G191" s="13">
        <f>+D191+E191-F191</f>
        <v>14500</v>
      </c>
      <c r="H191" s="9"/>
      <c r="I191" s="3">
        <f>+G191-H191</f>
        <v>14500</v>
      </c>
      <c r="J191" s="4">
        <v>699</v>
      </c>
      <c r="K191" s="29" t="s">
        <v>220</v>
      </c>
    </row>
    <row r="192" spans="1:12" x14ac:dyDescent="0.3">
      <c r="A192" s="9">
        <v>11</v>
      </c>
      <c r="B192" s="27" t="s">
        <v>234</v>
      </c>
      <c r="C192" s="29" t="s">
        <v>24</v>
      </c>
      <c r="D192" s="9">
        <v>13500</v>
      </c>
      <c r="E192" s="28">
        <v>14500</v>
      </c>
      <c r="F192" s="3"/>
      <c r="G192" s="13">
        <f>+D192+E192-F192</f>
        <v>28000</v>
      </c>
      <c r="H192" s="9">
        <v>13500</v>
      </c>
      <c r="I192" s="3">
        <f>+G192-H192</f>
        <v>14500</v>
      </c>
      <c r="J192" s="4">
        <v>699</v>
      </c>
      <c r="K192" s="29" t="s">
        <v>220</v>
      </c>
    </row>
    <row r="193" spans="1:14" x14ac:dyDescent="0.3">
      <c r="A193" s="9">
        <v>12</v>
      </c>
      <c r="B193" s="30" t="s">
        <v>235</v>
      </c>
      <c r="C193" s="27" t="s">
        <v>16</v>
      </c>
      <c r="D193" s="4">
        <v>0</v>
      </c>
      <c r="E193" s="28">
        <v>14500</v>
      </c>
      <c r="F193" s="4"/>
      <c r="G193" s="13">
        <f>+D193+E193-F193</f>
        <v>14500</v>
      </c>
      <c r="H193" s="4"/>
      <c r="I193" s="3">
        <f>+G193-H193</f>
        <v>14500</v>
      </c>
      <c r="J193" s="4">
        <v>699</v>
      </c>
      <c r="K193" s="29" t="s">
        <v>220</v>
      </c>
    </row>
    <row r="194" spans="1:14" x14ac:dyDescent="0.3">
      <c r="A194" s="9">
        <v>13</v>
      </c>
      <c r="B194" s="30" t="s">
        <v>236</v>
      </c>
      <c r="C194" s="27" t="s">
        <v>31</v>
      </c>
      <c r="D194" s="4">
        <v>0</v>
      </c>
      <c r="E194" s="28">
        <v>14500</v>
      </c>
      <c r="F194" s="4"/>
      <c r="G194" s="13">
        <f>+D194+E194-F194</f>
        <v>14500</v>
      </c>
      <c r="H194" s="4"/>
      <c r="I194" s="3">
        <f>+G194-H194</f>
        <v>14500</v>
      </c>
      <c r="J194" s="4">
        <v>699</v>
      </c>
      <c r="K194" s="30" t="s">
        <v>220</v>
      </c>
    </row>
    <row r="195" spans="1:14" x14ac:dyDescent="0.3">
      <c r="A195" s="9">
        <v>14</v>
      </c>
      <c r="B195" s="30" t="s">
        <v>237</v>
      </c>
      <c r="C195" s="27" t="s">
        <v>16</v>
      </c>
      <c r="D195" s="4">
        <v>5000</v>
      </c>
      <c r="E195" s="28">
        <v>14500</v>
      </c>
      <c r="F195" s="4"/>
      <c r="G195" s="13">
        <f>+D195+E195-F195</f>
        <v>19500</v>
      </c>
      <c r="H195" s="4"/>
      <c r="I195" s="3">
        <f>+G195-H195</f>
        <v>19500</v>
      </c>
      <c r="J195" s="4">
        <v>699</v>
      </c>
      <c r="K195" s="30" t="s">
        <v>220</v>
      </c>
    </row>
    <row r="196" spans="1:14" x14ac:dyDescent="0.3">
      <c r="A196" s="9">
        <v>15</v>
      </c>
      <c r="B196" s="27" t="s">
        <v>238</v>
      </c>
      <c r="C196" s="27" t="s">
        <v>21</v>
      </c>
      <c r="D196" s="4">
        <v>0</v>
      </c>
      <c r="E196" s="28">
        <v>14500</v>
      </c>
      <c r="F196" s="4"/>
      <c r="G196" s="13">
        <f>+D196+E196-F196</f>
        <v>14500</v>
      </c>
      <c r="H196" s="4"/>
      <c r="I196" s="3">
        <f>+G196-H196</f>
        <v>14500</v>
      </c>
      <c r="J196" s="4">
        <v>699</v>
      </c>
      <c r="K196" s="29" t="s">
        <v>225</v>
      </c>
    </row>
    <row r="197" spans="1:14" x14ac:dyDescent="0.3">
      <c r="A197" s="9">
        <v>16</v>
      </c>
      <c r="B197" s="30" t="s">
        <v>239</v>
      </c>
      <c r="C197" s="29" t="s">
        <v>19</v>
      </c>
      <c r="D197" s="9">
        <v>10000</v>
      </c>
      <c r="E197" s="28">
        <v>14500</v>
      </c>
      <c r="F197" s="3"/>
      <c r="G197" s="13">
        <f>+D197+E197-F197</f>
        <v>24500</v>
      </c>
      <c r="H197" s="9"/>
      <c r="I197" s="3">
        <f>+G197-H197</f>
        <v>24500</v>
      </c>
      <c r="J197" s="4">
        <v>699</v>
      </c>
      <c r="K197" s="29" t="s">
        <v>220</v>
      </c>
    </row>
    <row r="198" spans="1:14" x14ac:dyDescent="0.3">
      <c r="A198" s="9">
        <v>17</v>
      </c>
      <c r="B198" s="30" t="s">
        <v>240</v>
      </c>
      <c r="C198" s="30" t="s">
        <v>16</v>
      </c>
      <c r="D198" s="10">
        <v>0</v>
      </c>
      <c r="E198" s="28">
        <v>14500</v>
      </c>
      <c r="F198" s="10"/>
      <c r="G198" s="13">
        <f>+D198+E198-F198</f>
        <v>14500</v>
      </c>
      <c r="H198" s="10"/>
      <c r="I198" s="3">
        <f>+G198-H198</f>
        <v>14500</v>
      </c>
      <c r="J198" s="10">
        <v>699</v>
      </c>
      <c r="K198" s="30" t="s">
        <v>225</v>
      </c>
    </row>
    <row r="199" spans="1:14" x14ac:dyDescent="0.3">
      <c r="A199" s="9">
        <v>18</v>
      </c>
      <c r="B199" s="27" t="s">
        <v>241</v>
      </c>
      <c r="C199" s="27" t="s">
        <v>26</v>
      </c>
      <c r="D199" s="4">
        <v>0</v>
      </c>
      <c r="E199" s="28">
        <v>14500</v>
      </c>
      <c r="F199" s="4"/>
      <c r="G199" s="13">
        <f>+D199+E199-F199</f>
        <v>14500</v>
      </c>
      <c r="H199" s="4"/>
      <c r="I199" s="3">
        <f>+G199-H199</f>
        <v>14500</v>
      </c>
      <c r="J199" s="10">
        <v>699</v>
      </c>
      <c r="K199" s="30" t="s">
        <v>242</v>
      </c>
    </row>
    <row r="200" spans="1:14" x14ac:dyDescent="0.3">
      <c r="A200" s="9">
        <v>19</v>
      </c>
      <c r="B200" s="30" t="s">
        <v>243</v>
      </c>
      <c r="C200" s="30" t="s">
        <v>16</v>
      </c>
      <c r="D200" s="10">
        <v>0</v>
      </c>
      <c r="E200" s="28">
        <v>14500</v>
      </c>
      <c r="F200" s="10"/>
      <c r="G200" s="13">
        <f>+D200+E200-F200</f>
        <v>14500</v>
      </c>
      <c r="H200" s="10"/>
      <c r="I200" s="3">
        <f>+G200-H200</f>
        <v>14500</v>
      </c>
      <c r="J200" s="10">
        <v>699</v>
      </c>
      <c r="K200" s="30" t="s">
        <v>220</v>
      </c>
      <c r="N200" s="6"/>
    </row>
    <row r="201" spans="1:14" x14ac:dyDescent="0.3">
      <c r="A201" s="9">
        <v>20</v>
      </c>
      <c r="B201" s="27" t="s">
        <v>244</v>
      </c>
      <c r="C201" s="29" t="s">
        <v>193</v>
      </c>
      <c r="D201" s="4">
        <v>0</v>
      </c>
      <c r="E201" s="28">
        <v>16000</v>
      </c>
      <c r="F201" s="4"/>
      <c r="G201" s="13">
        <f>+D201+E201-F201</f>
        <v>16000</v>
      </c>
      <c r="H201" s="4"/>
      <c r="I201" s="3">
        <f>+G201-H201</f>
        <v>16000</v>
      </c>
      <c r="J201" s="4">
        <v>699</v>
      </c>
      <c r="K201" s="29" t="s">
        <v>222</v>
      </c>
    </row>
    <row r="202" spans="1:14" x14ac:dyDescent="0.3">
      <c r="A202" s="9">
        <v>21</v>
      </c>
      <c r="B202" s="30" t="s">
        <v>245</v>
      </c>
      <c r="C202" s="27" t="s">
        <v>24</v>
      </c>
      <c r="D202" s="4">
        <v>0</v>
      </c>
      <c r="E202" s="28">
        <v>14500</v>
      </c>
      <c r="F202" s="4"/>
      <c r="G202" s="13">
        <f>+D202+E202-F202</f>
        <v>14500</v>
      </c>
      <c r="H202" s="4"/>
      <c r="I202" s="3">
        <f>+G202-H202</f>
        <v>14500</v>
      </c>
      <c r="J202" s="4">
        <v>699</v>
      </c>
      <c r="K202" s="30" t="s">
        <v>246</v>
      </c>
    </row>
    <row r="203" spans="1:14" x14ac:dyDescent="0.3">
      <c r="A203" s="9">
        <v>22</v>
      </c>
      <c r="B203" s="30" t="s">
        <v>247</v>
      </c>
      <c r="C203" s="30" t="s">
        <v>21</v>
      </c>
      <c r="D203" s="10">
        <v>0</v>
      </c>
      <c r="E203" s="28">
        <v>16000</v>
      </c>
      <c r="F203" s="10"/>
      <c r="G203" s="13">
        <f>+D203+E203-F203</f>
        <v>16000</v>
      </c>
      <c r="H203" s="10"/>
      <c r="I203" s="3">
        <f>+G203-H203</f>
        <v>16000</v>
      </c>
      <c r="J203" s="10">
        <v>699</v>
      </c>
      <c r="K203" s="30" t="s">
        <v>222</v>
      </c>
      <c r="N203" s="43"/>
    </row>
    <row r="204" spans="1:14" x14ac:dyDescent="0.3">
      <c r="A204" s="9">
        <v>23</v>
      </c>
      <c r="B204" s="30" t="s">
        <v>248</v>
      </c>
      <c r="C204" s="30" t="s">
        <v>21</v>
      </c>
      <c r="D204" s="10">
        <v>5500</v>
      </c>
      <c r="E204" s="28">
        <v>14500</v>
      </c>
      <c r="F204" s="10"/>
      <c r="G204" s="13">
        <f>+D204+E204-F204</f>
        <v>20000</v>
      </c>
      <c r="H204" s="10">
        <v>5500</v>
      </c>
      <c r="I204" s="3">
        <f>+G204-H204</f>
        <v>14500</v>
      </c>
      <c r="J204" s="10">
        <v>699</v>
      </c>
      <c r="K204" s="30" t="s">
        <v>225</v>
      </c>
    </row>
    <row r="205" spans="1:14" x14ac:dyDescent="0.3">
      <c r="A205" s="9">
        <v>24</v>
      </c>
      <c r="B205" s="30" t="s">
        <v>249</v>
      </c>
      <c r="C205" s="31" t="s">
        <v>26</v>
      </c>
      <c r="D205" s="32">
        <v>0</v>
      </c>
      <c r="E205" s="28">
        <v>14500</v>
      </c>
      <c r="F205" s="32"/>
      <c r="G205" s="13">
        <f>+D205+E205-F205</f>
        <v>14500</v>
      </c>
      <c r="H205" s="32"/>
      <c r="I205" s="3">
        <f>+G205-H205</f>
        <v>14500</v>
      </c>
      <c r="J205" s="10">
        <v>699</v>
      </c>
      <c r="K205" s="30" t="s">
        <v>225</v>
      </c>
    </row>
    <row r="206" spans="1:14" x14ac:dyDescent="0.3">
      <c r="A206" s="9">
        <v>25</v>
      </c>
      <c r="B206" s="30" t="s">
        <v>250</v>
      </c>
      <c r="C206" s="27" t="s">
        <v>19</v>
      </c>
      <c r="D206" s="4">
        <v>0</v>
      </c>
      <c r="E206" s="28">
        <v>14500</v>
      </c>
      <c r="F206" s="4"/>
      <c r="G206" s="13">
        <f>+D206+E206-F206</f>
        <v>14500</v>
      </c>
      <c r="H206" s="4"/>
      <c r="I206" s="3">
        <f>+G206-H206</f>
        <v>14500</v>
      </c>
      <c r="J206" s="10">
        <v>699</v>
      </c>
      <c r="K206" s="30" t="s">
        <v>242</v>
      </c>
      <c r="N206" s="44"/>
    </row>
    <row r="207" spans="1:14" x14ac:dyDescent="0.3">
      <c r="A207" s="9">
        <v>26</v>
      </c>
      <c r="B207" s="27" t="s">
        <v>251</v>
      </c>
      <c r="C207" s="31" t="s">
        <v>19</v>
      </c>
      <c r="D207" s="32">
        <v>0</v>
      </c>
      <c r="E207" s="28">
        <v>14500</v>
      </c>
      <c r="F207" s="32"/>
      <c r="G207" s="13">
        <f>+D207+E207-F207</f>
        <v>14500</v>
      </c>
      <c r="H207" s="9"/>
      <c r="I207" s="3">
        <f>+G207-H207</f>
        <v>14500</v>
      </c>
      <c r="J207" s="10">
        <v>699</v>
      </c>
      <c r="K207" s="30" t="s">
        <v>220</v>
      </c>
    </row>
    <row r="208" spans="1:14" x14ac:dyDescent="0.3">
      <c r="A208" s="9">
        <v>27</v>
      </c>
      <c r="B208" s="27" t="s">
        <v>252</v>
      </c>
      <c r="C208" s="27" t="s">
        <v>16</v>
      </c>
      <c r="D208" s="4">
        <v>0</v>
      </c>
      <c r="E208" s="28">
        <v>14500</v>
      </c>
      <c r="F208" s="4"/>
      <c r="G208" s="13">
        <f>+D208+E208-F208</f>
        <v>14500</v>
      </c>
      <c r="H208" s="4"/>
      <c r="I208" s="3">
        <f>+G208-H208</f>
        <v>14500</v>
      </c>
      <c r="J208" s="4">
        <v>699</v>
      </c>
      <c r="K208" s="29" t="s">
        <v>220</v>
      </c>
    </row>
    <row r="209" spans="1:11" x14ac:dyDescent="0.3">
      <c r="A209" s="9">
        <v>28</v>
      </c>
      <c r="B209" s="27" t="s">
        <v>253</v>
      </c>
      <c r="C209" s="27" t="s">
        <v>24</v>
      </c>
      <c r="D209" s="4">
        <v>0</v>
      </c>
      <c r="E209" s="28">
        <v>16000</v>
      </c>
      <c r="F209" s="4"/>
      <c r="G209" s="13">
        <f>+D209+E209-F209</f>
        <v>16000</v>
      </c>
      <c r="H209" s="4"/>
      <c r="I209" s="3">
        <f>+G209-H209</f>
        <v>16000</v>
      </c>
      <c r="J209" s="4">
        <v>699</v>
      </c>
      <c r="K209" s="29" t="s">
        <v>222</v>
      </c>
    </row>
    <row r="210" spans="1:11" x14ac:dyDescent="0.3">
      <c r="A210" s="9">
        <v>29</v>
      </c>
      <c r="B210" s="30" t="s">
        <v>254</v>
      </c>
      <c r="C210" s="30" t="s">
        <v>21</v>
      </c>
      <c r="D210" s="10">
        <v>3500</v>
      </c>
      <c r="E210" s="28">
        <v>14500</v>
      </c>
      <c r="F210" s="10"/>
      <c r="G210" s="13">
        <f>+D210+E210-F210</f>
        <v>18000</v>
      </c>
      <c r="H210" s="10">
        <v>3500</v>
      </c>
      <c r="I210" s="3">
        <f>+G210-H210</f>
        <v>14500</v>
      </c>
      <c r="J210" s="10">
        <v>699</v>
      </c>
      <c r="K210" s="30" t="s">
        <v>225</v>
      </c>
    </row>
    <row r="211" spans="1:11" x14ac:dyDescent="0.3">
      <c r="A211" s="9">
        <v>30</v>
      </c>
      <c r="B211" s="30" t="s">
        <v>255</v>
      </c>
      <c r="C211" s="27" t="s">
        <v>43</v>
      </c>
      <c r="D211" s="4">
        <v>0</v>
      </c>
      <c r="E211" s="28">
        <v>14500</v>
      </c>
      <c r="F211" s="4"/>
      <c r="G211" s="13">
        <f>+D211+E211-F211</f>
        <v>14500</v>
      </c>
      <c r="H211" s="4"/>
      <c r="I211" s="3">
        <f>+G211-H211</f>
        <v>14500</v>
      </c>
      <c r="J211" s="4">
        <v>699</v>
      </c>
      <c r="K211" s="30" t="s">
        <v>220</v>
      </c>
    </row>
    <row r="212" spans="1:11" x14ac:dyDescent="0.3">
      <c r="A212" s="9">
        <v>31</v>
      </c>
      <c r="B212" s="27" t="s">
        <v>256</v>
      </c>
      <c r="C212" s="27" t="s">
        <v>16</v>
      </c>
      <c r="D212" s="4">
        <v>5000</v>
      </c>
      <c r="E212" s="28">
        <v>16000</v>
      </c>
      <c r="F212" s="4"/>
      <c r="G212" s="13">
        <f>+D212+E212-F212</f>
        <v>21000</v>
      </c>
      <c r="H212" s="4"/>
      <c r="I212" s="3">
        <f>+G212-H212</f>
        <v>21000</v>
      </c>
      <c r="J212" s="4">
        <v>699</v>
      </c>
      <c r="K212" s="29" t="s">
        <v>222</v>
      </c>
    </row>
    <row r="213" spans="1:11" x14ac:dyDescent="0.3">
      <c r="A213" s="9">
        <v>32</v>
      </c>
      <c r="B213" s="27" t="s">
        <v>257</v>
      </c>
      <c r="C213" s="27" t="s">
        <v>21</v>
      </c>
      <c r="D213" s="4">
        <v>5000</v>
      </c>
      <c r="E213" s="28">
        <v>16000</v>
      </c>
      <c r="F213" s="4"/>
      <c r="G213" s="13">
        <f>+D213+E213-F213</f>
        <v>21000</v>
      </c>
      <c r="H213" s="4"/>
      <c r="I213" s="3">
        <f>+G213-H213</f>
        <v>21000</v>
      </c>
      <c r="J213" s="4">
        <v>699</v>
      </c>
      <c r="K213" s="29" t="s">
        <v>222</v>
      </c>
    </row>
    <row r="214" spans="1:11" x14ac:dyDescent="0.3">
      <c r="A214" s="9">
        <v>33</v>
      </c>
      <c r="B214" s="27" t="s">
        <v>258</v>
      </c>
      <c r="C214" s="29" t="s">
        <v>43</v>
      </c>
      <c r="D214" s="9">
        <v>0</v>
      </c>
      <c r="E214" s="28">
        <v>16000</v>
      </c>
      <c r="F214" s="3"/>
      <c r="G214" s="13">
        <f>+D214+E214-F214</f>
        <v>16000</v>
      </c>
      <c r="H214" s="9"/>
      <c r="I214" s="3">
        <f>+G214-H214</f>
        <v>16000</v>
      </c>
      <c r="J214" s="4">
        <v>699</v>
      </c>
      <c r="K214" s="29" t="s">
        <v>259</v>
      </c>
    </row>
    <row r="215" spans="1:11" x14ac:dyDescent="0.3">
      <c r="A215" s="9">
        <v>34</v>
      </c>
      <c r="B215" s="30" t="s">
        <v>260</v>
      </c>
      <c r="C215" s="30" t="s">
        <v>47</v>
      </c>
      <c r="D215" s="10">
        <v>0</v>
      </c>
      <c r="E215" s="28">
        <v>16000</v>
      </c>
      <c r="F215" s="10"/>
      <c r="G215" s="13">
        <f>+D215+E215-F215</f>
        <v>16000</v>
      </c>
      <c r="H215" s="10"/>
      <c r="I215" s="3">
        <f>+G215-H215</f>
        <v>16000</v>
      </c>
      <c r="J215" s="4">
        <v>699</v>
      </c>
      <c r="K215" s="30" t="s">
        <v>222</v>
      </c>
    </row>
    <row r="216" spans="1:11" x14ac:dyDescent="0.3">
      <c r="A216" s="9">
        <v>35</v>
      </c>
      <c r="B216" s="30" t="s">
        <v>261</v>
      </c>
      <c r="C216" s="30" t="s">
        <v>47</v>
      </c>
      <c r="D216" s="10">
        <v>0</v>
      </c>
      <c r="E216" s="28">
        <v>14500</v>
      </c>
      <c r="F216" s="10"/>
      <c r="G216" s="13">
        <f>+D216+E216-F216</f>
        <v>14500</v>
      </c>
      <c r="H216" s="10"/>
      <c r="I216" s="3">
        <f>+G216-H216</f>
        <v>14500</v>
      </c>
      <c r="J216" s="4">
        <v>699</v>
      </c>
      <c r="K216" s="30" t="s">
        <v>220</v>
      </c>
    </row>
    <row r="217" spans="1:11" x14ac:dyDescent="0.3">
      <c r="A217" s="9">
        <v>36</v>
      </c>
      <c r="B217" s="30" t="s">
        <v>262</v>
      </c>
      <c r="C217" s="31" t="s">
        <v>26</v>
      </c>
      <c r="D217" s="32">
        <v>0</v>
      </c>
      <c r="E217" s="28">
        <v>14500</v>
      </c>
      <c r="F217" s="32"/>
      <c r="G217" s="13">
        <f>+D217+E217-F217</f>
        <v>14500</v>
      </c>
      <c r="H217" s="10"/>
      <c r="I217" s="3">
        <f>+G217-H217</f>
        <v>14500</v>
      </c>
      <c r="J217" s="10">
        <v>699</v>
      </c>
      <c r="K217" s="30" t="s">
        <v>225</v>
      </c>
    </row>
    <row r="218" spans="1:11" x14ac:dyDescent="0.3">
      <c r="A218" s="9">
        <v>37</v>
      </c>
      <c r="B218" s="27" t="s">
        <v>276</v>
      </c>
      <c r="C218" s="27" t="s">
        <v>21</v>
      </c>
      <c r="D218" s="4">
        <v>0</v>
      </c>
      <c r="E218" s="28">
        <v>14500</v>
      </c>
      <c r="F218" s="4"/>
      <c r="G218" s="13">
        <f>+D218+E218-F218</f>
        <v>14500</v>
      </c>
      <c r="H218" s="4"/>
      <c r="I218" s="3">
        <f>+G218-H218</f>
        <v>14500</v>
      </c>
      <c r="J218" s="4">
        <v>699</v>
      </c>
      <c r="K218" s="33" t="s">
        <v>225</v>
      </c>
    </row>
    <row r="219" spans="1:11" x14ac:dyDescent="0.3">
      <c r="A219" s="9">
        <v>38</v>
      </c>
      <c r="B219" s="27" t="s">
        <v>263</v>
      </c>
      <c r="C219" s="29" t="s">
        <v>16</v>
      </c>
      <c r="D219" s="9">
        <v>0</v>
      </c>
      <c r="E219" s="28">
        <v>14500</v>
      </c>
      <c r="F219" s="3"/>
      <c r="G219" s="13">
        <f>+D219+E219-F219</f>
        <v>14500</v>
      </c>
      <c r="H219" s="9"/>
      <c r="I219" s="3">
        <f>+G219-H219</f>
        <v>14500</v>
      </c>
      <c r="J219" s="4">
        <v>699</v>
      </c>
      <c r="K219" s="29" t="s">
        <v>220</v>
      </c>
    </row>
    <row r="220" spans="1:11" x14ac:dyDescent="0.3">
      <c r="A220" s="9">
        <v>39</v>
      </c>
      <c r="B220" s="30" t="s">
        <v>264</v>
      </c>
      <c r="C220" s="30" t="s">
        <v>21</v>
      </c>
      <c r="D220" s="10">
        <v>6750</v>
      </c>
      <c r="E220" s="28">
        <v>14500</v>
      </c>
      <c r="F220" s="10"/>
      <c r="G220" s="13">
        <f>+D220+E220-F220</f>
        <v>21250</v>
      </c>
      <c r="H220" s="10">
        <v>6750</v>
      </c>
      <c r="I220" s="3">
        <f>+G220-H220</f>
        <v>14500</v>
      </c>
      <c r="J220" s="10">
        <v>699</v>
      </c>
      <c r="K220" s="30" t="s">
        <v>220</v>
      </c>
    </row>
    <row r="221" spans="1:11" x14ac:dyDescent="0.3">
      <c r="A221" s="9">
        <v>40</v>
      </c>
      <c r="B221" s="39" t="s">
        <v>265</v>
      </c>
      <c r="C221" s="30" t="s">
        <v>16</v>
      </c>
      <c r="D221" s="10">
        <v>3250</v>
      </c>
      <c r="E221" s="28">
        <v>14500</v>
      </c>
      <c r="F221" s="10"/>
      <c r="G221" s="13">
        <f>+D221+E221-F221</f>
        <v>17750</v>
      </c>
      <c r="H221" s="10">
        <v>3250</v>
      </c>
      <c r="I221" s="3">
        <f>+G221-H221</f>
        <v>14500</v>
      </c>
      <c r="J221" s="10">
        <v>699</v>
      </c>
      <c r="K221" s="39" t="s">
        <v>220</v>
      </c>
    </row>
    <row r="222" spans="1:11" x14ac:dyDescent="0.3">
      <c r="A222" s="9">
        <v>41</v>
      </c>
      <c r="B222" s="30" t="s">
        <v>266</v>
      </c>
      <c r="C222" s="27" t="s">
        <v>43</v>
      </c>
      <c r="D222" s="4">
        <v>0</v>
      </c>
      <c r="E222" s="28">
        <v>14500</v>
      </c>
      <c r="F222" s="4"/>
      <c r="G222" s="13">
        <f>+D222+E222-F222</f>
        <v>14500</v>
      </c>
      <c r="H222" s="4"/>
      <c r="I222" s="3">
        <f>+G222-H222</f>
        <v>14500</v>
      </c>
      <c r="J222" s="4">
        <v>699</v>
      </c>
      <c r="K222" s="29" t="s">
        <v>225</v>
      </c>
    </row>
    <row r="223" spans="1:11" x14ac:dyDescent="0.3">
      <c r="A223" s="9">
        <v>42</v>
      </c>
      <c r="B223" s="27" t="s">
        <v>267</v>
      </c>
      <c r="C223" s="31" t="s">
        <v>19</v>
      </c>
      <c r="D223" s="32">
        <v>0</v>
      </c>
      <c r="E223" s="28">
        <v>14500</v>
      </c>
      <c r="F223" s="32"/>
      <c r="G223" s="13">
        <f>+D223+E223-F223</f>
        <v>14500</v>
      </c>
      <c r="H223" s="4"/>
      <c r="I223" s="3">
        <f>+G223-H223</f>
        <v>14500</v>
      </c>
      <c r="J223" s="10">
        <v>699</v>
      </c>
      <c r="K223" s="30" t="s">
        <v>220</v>
      </c>
    </row>
    <row r="224" spans="1:11" x14ac:dyDescent="0.3">
      <c r="A224" s="9">
        <v>43</v>
      </c>
      <c r="B224" s="39" t="s">
        <v>268</v>
      </c>
      <c r="C224" s="30" t="s">
        <v>47</v>
      </c>
      <c r="D224" s="10">
        <v>750</v>
      </c>
      <c r="E224" s="28">
        <v>14500</v>
      </c>
      <c r="F224" s="10"/>
      <c r="G224" s="13">
        <f>+D224+E224-F224</f>
        <v>15250</v>
      </c>
      <c r="H224" s="10">
        <v>750</v>
      </c>
      <c r="I224" s="3">
        <f>+G224-H224</f>
        <v>14500</v>
      </c>
      <c r="J224" s="10">
        <v>699</v>
      </c>
      <c r="K224" s="39" t="s">
        <v>220</v>
      </c>
    </row>
    <row r="225" spans="1:15" x14ac:dyDescent="0.3">
      <c r="A225" s="9">
        <v>44</v>
      </c>
      <c r="B225" s="27" t="s">
        <v>269</v>
      </c>
      <c r="C225" s="29" t="s">
        <v>29</v>
      </c>
      <c r="D225" s="9">
        <v>0</v>
      </c>
      <c r="E225" s="28">
        <v>14500</v>
      </c>
      <c r="F225" s="3"/>
      <c r="G225" s="13">
        <f>+D225+E225-F225</f>
        <v>14500</v>
      </c>
      <c r="H225" s="9"/>
      <c r="I225" s="3">
        <f>+G225-H225</f>
        <v>14500</v>
      </c>
      <c r="J225" s="4">
        <v>699</v>
      </c>
      <c r="K225" s="30" t="s">
        <v>246</v>
      </c>
      <c r="N225" s="6"/>
      <c r="O225" s="6"/>
    </row>
    <row r="226" spans="1:15" x14ac:dyDescent="0.3">
      <c r="A226" s="9">
        <v>45</v>
      </c>
      <c r="B226" s="27" t="s">
        <v>270</v>
      </c>
      <c r="C226" s="29" t="s">
        <v>31</v>
      </c>
      <c r="D226" s="4">
        <v>0</v>
      </c>
      <c r="E226" s="28">
        <v>14500</v>
      </c>
      <c r="F226" s="3"/>
      <c r="G226" s="13">
        <f>+D226+E226-F226</f>
        <v>14500</v>
      </c>
      <c r="H226" s="9">
        <v>5000</v>
      </c>
      <c r="I226" s="3">
        <f>+G226-H226</f>
        <v>9500</v>
      </c>
      <c r="J226" s="4">
        <v>699</v>
      </c>
      <c r="K226" s="33" t="s">
        <v>220</v>
      </c>
      <c r="N226" s="6"/>
      <c r="O226" s="6"/>
    </row>
    <row r="227" spans="1:15" x14ac:dyDescent="0.3">
      <c r="A227" s="9">
        <v>46</v>
      </c>
      <c r="B227" s="30" t="s">
        <v>271</v>
      </c>
      <c r="C227" s="30" t="s">
        <v>16</v>
      </c>
      <c r="D227" s="10">
        <v>0</v>
      </c>
      <c r="E227" s="28">
        <v>14500</v>
      </c>
      <c r="F227" s="10"/>
      <c r="G227" s="13">
        <f>+D227+E227-F227</f>
        <v>14500</v>
      </c>
      <c r="H227" s="10"/>
      <c r="I227" s="3">
        <f>+G227-H227</f>
        <v>14500</v>
      </c>
      <c r="J227" s="10">
        <v>699</v>
      </c>
      <c r="K227" s="30" t="s">
        <v>225</v>
      </c>
      <c r="N227" s="6"/>
      <c r="O227" s="6"/>
    </row>
    <row r="228" spans="1:15" x14ac:dyDescent="0.3">
      <c r="A228" s="9">
        <v>47</v>
      </c>
      <c r="B228" s="30" t="s">
        <v>272</v>
      </c>
      <c r="C228" s="29" t="s">
        <v>21</v>
      </c>
      <c r="D228" s="9">
        <v>8500</v>
      </c>
      <c r="E228" s="28">
        <v>14500</v>
      </c>
      <c r="F228" s="3"/>
      <c r="G228" s="13">
        <f>+D228+E228-F228</f>
        <v>23000</v>
      </c>
      <c r="H228" s="9"/>
      <c r="I228" s="3">
        <f>+G228-H228</f>
        <v>23000</v>
      </c>
      <c r="J228" s="4">
        <v>699</v>
      </c>
      <c r="K228" s="29" t="s">
        <v>220</v>
      </c>
      <c r="N228" s="6"/>
      <c r="O228" s="6"/>
    </row>
    <row r="229" spans="1:15" x14ac:dyDescent="0.3">
      <c r="A229" s="9">
        <v>48</v>
      </c>
      <c r="B229" s="27" t="s">
        <v>273</v>
      </c>
      <c r="C229" s="27" t="s">
        <v>26</v>
      </c>
      <c r="D229" s="4">
        <v>0</v>
      </c>
      <c r="E229" s="28">
        <v>14500</v>
      </c>
      <c r="F229" s="4"/>
      <c r="G229" s="13">
        <f>+D229+E229-F229</f>
        <v>14500</v>
      </c>
      <c r="H229" s="4"/>
      <c r="I229" s="3">
        <f>+G229-H229</f>
        <v>14500</v>
      </c>
      <c r="J229" s="4">
        <v>699</v>
      </c>
      <c r="K229" s="29" t="s">
        <v>220</v>
      </c>
      <c r="N229" s="6"/>
      <c r="O229" s="6"/>
    </row>
    <row r="230" spans="1:15" x14ac:dyDescent="0.3">
      <c r="A230" s="9">
        <v>49</v>
      </c>
      <c r="B230" s="38" t="s">
        <v>221</v>
      </c>
      <c r="C230" s="29" t="s">
        <v>47</v>
      </c>
      <c r="D230" s="4">
        <v>0</v>
      </c>
      <c r="E230" s="28">
        <v>16000</v>
      </c>
      <c r="F230" s="10"/>
      <c r="G230" s="13">
        <f>+D230+E230-F230</f>
        <v>16000</v>
      </c>
      <c r="H230" s="10"/>
      <c r="I230" s="3">
        <f>+G230-H230</f>
        <v>16000</v>
      </c>
      <c r="J230" s="10">
        <v>699</v>
      </c>
      <c r="K230" s="29" t="s">
        <v>222</v>
      </c>
      <c r="N230" s="6"/>
      <c r="O230" s="6"/>
    </row>
    <row r="231" spans="1:15" x14ac:dyDescent="0.3">
      <c r="A231" s="9">
        <v>50</v>
      </c>
      <c r="B231" s="30" t="s">
        <v>274</v>
      </c>
      <c r="C231" s="31" t="s">
        <v>24</v>
      </c>
      <c r="D231" s="32">
        <v>0</v>
      </c>
      <c r="E231" s="28">
        <v>16000</v>
      </c>
      <c r="F231" s="32"/>
      <c r="G231" s="13">
        <f>+D231+E231-F231</f>
        <v>16000</v>
      </c>
      <c r="H231" s="10"/>
      <c r="I231" s="3">
        <f>+G231-H231</f>
        <v>16000</v>
      </c>
      <c r="J231" s="10">
        <v>699</v>
      </c>
      <c r="K231" s="30" t="s">
        <v>222</v>
      </c>
      <c r="N231" s="6"/>
      <c r="O231" s="6"/>
    </row>
    <row r="232" spans="1:15" x14ac:dyDescent="0.3">
      <c r="A232" s="9">
        <v>51</v>
      </c>
      <c r="B232" s="27" t="s">
        <v>275</v>
      </c>
      <c r="C232" s="27" t="s">
        <v>16</v>
      </c>
      <c r="D232" s="4">
        <v>0</v>
      </c>
      <c r="E232" s="28">
        <v>14500</v>
      </c>
      <c r="F232" s="4"/>
      <c r="G232" s="13">
        <f>+D232+E232-F232</f>
        <v>14500</v>
      </c>
      <c r="H232" s="4"/>
      <c r="I232" s="3">
        <f>+G232-H232</f>
        <v>14500</v>
      </c>
      <c r="J232" s="4">
        <v>699</v>
      </c>
      <c r="K232" s="29" t="s">
        <v>220</v>
      </c>
      <c r="N232" s="6"/>
      <c r="O232" s="6"/>
    </row>
    <row r="233" spans="1:15" x14ac:dyDescent="0.3">
      <c r="A233" s="9">
        <v>52</v>
      </c>
      <c r="B233" s="27" t="s">
        <v>279</v>
      </c>
      <c r="C233" s="30" t="s">
        <v>16</v>
      </c>
      <c r="D233" s="32">
        <v>0</v>
      </c>
      <c r="E233" s="28">
        <v>14500</v>
      </c>
      <c r="F233" s="32"/>
      <c r="G233" s="13">
        <f>+D233+E233-F233</f>
        <v>14500</v>
      </c>
      <c r="H233" s="9"/>
      <c r="I233" s="3">
        <f>+G233-H233</f>
        <v>14500</v>
      </c>
      <c r="J233" s="10">
        <v>699</v>
      </c>
      <c r="K233" s="30" t="s">
        <v>220</v>
      </c>
      <c r="N233" s="6"/>
      <c r="O233" s="6"/>
    </row>
    <row r="234" spans="1:15" x14ac:dyDescent="0.3">
      <c r="A234" s="9">
        <v>53</v>
      </c>
      <c r="B234" s="38" t="s">
        <v>223</v>
      </c>
      <c r="C234" s="27" t="s">
        <v>29</v>
      </c>
      <c r="D234" s="4">
        <v>0</v>
      </c>
      <c r="E234" s="28">
        <v>16000</v>
      </c>
      <c r="F234" s="10"/>
      <c r="G234" s="13">
        <f>+D234+E234-F234</f>
        <v>16000</v>
      </c>
      <c r="H234" s="10"/>
      <c r="I234" s="3">
        <f>+G234-H234</f>
        <v>16000</v>
      </c>
      <c r="J234" s="10">
        <v>699</v>
      </c>
      <c r="K234" s="29" t="s">
        <v>222</v>
      </c>
      <c r="N234" s="6"/>
      <c r="O234" s="6"/>
    </row>
    <row r="235" spans="1:15" x14ac:dyDescent="0.3">
      <c r="A235" s="9">
        <v>54</v>
      </c>
      <c r="B235" s="27" t="s">
        <v>277</v>
      </c>
      <c r="C235" s="27" t="s">
        <v>21</v>
      </c>
      <c r="D235" s="4">
        <v>0</v>
      </c>
      <c r="E235" s="28">
        <v>14500</v>
      </c>
      <c r="F235" s="4"/>
      <c r="G235" s="13">
        <f>+D235+E235-F235</f>
        <v>14500</v>
      </c>
      <c r="H235" s="4"/>
      <c r="I235" s="3">
        <f>+G235-H235</f>
        <v>14500</v>
      </c>
      <c r="J235" s="4">
        <v>699</v>
      </c>
      <c r="K235" s="33" t="s">
        <v>225</v>
      </c>
      <c r="N235" s="6"/>
      <c r="O235" s="6"/>
    </row>
    <row r="236" spans="1:15" x14ac:dyDescent="0.3">
      <c r="A236" s="9">
        <v>55</v>
      </c>
      <c r="B236" s="27" t="s">
        <v>278</v>
      </c>
      <c r="C236" s="29" t="s">
        <v>24</v>
      </c>
      <c r="D236" s="9">
        <v>8500</v>
      </c>
      <c r="E236" s="28">
        <v>14500</v>
      </c>
      <c r="F236" s="3"/>
      <c r="G236" s="13">
        <f>+D236+E236-F236</f>
        <v>23000</v>
      </c>
      <c r="H236" s="9">
        <v>8500</v>
      </c>
      <c r="I236" s="3">
        <f>+G236-H236</f>
        <v>14500</v>
      </c>
      <c r="J236" s="4">
        <v>699</v>
      </c>
      <c r="K236" s="29" t="s">
        <v>225</v>
      </c>
      <c r="N236" s="6"/>
      <c r="O236" s="6"/>
    </row>
    <row r="237" spans="1:15" x14ac:dyDescent="0.3">
      <c r="A237" s="9">
        <v>56</v>
      </c>
      <c r="B237" s="30" t="s">
        <v>280</v>
      </c>
      <c r="C237" s="31" t="s">
        <v>19</v>
      </c>
      <c r="D237" s="32">
        <v>0</v>
      </c>
      <c r="E237" s="28">
        <v>14500</v>
      </c>
      <c r="F237" s="32"/>
      <c r="G237" s="13">
        <f>+D237+E237-F237</f>
        <v>14500</v>
      </c>
      <c r="H237" s="9"/>
      <c r="I237" s="3">
        <f>+G237-H237</f>
        <v>14500</v>
      </c>
      <c r="J237" s="10">
        <v>699</v>
      </c>
      <c r="K237" s="30" t="s">
        <v>220</v>
      </c>
      <c r="N237" s="6"/>
      <c r="O237" s="6"/>
    </row>
    <row r="238" spans="1:15" x14ac:dyDescent="0.3">
      <c r="A238" s="9">
        <v>57</v>
      </c>
      <c r="B238" s="30" t="s">
        <v>281</v>
      </c>
      <c r="C238" s="30" t="s">
        <v>16</v>
      </c>
      <c r="D238" s="10">
        <v>0</v>
      </c>
      <c r="E238" s="28">
        <v>14500</v>
      </c>
      <c r="F238" s="10"/>
      <c r="G238" s="13">
        <f>+D238+E238-F238</f>
        <v>14500</v>
      </c>
      <c r="H238" s="10"/>
      <c r="I238" s="3">
        <f>+G238-H238</f>
        <v>14500</v>
      </c>
      <c r="J238" s="10">
        <v>699</v>
      </c>
      <c r="K238" s="30" t="s">
        <v>220</v>
      </c>
      <c r="N238" s="6"/>
      <c r="O238" s="6"/>
    </row>
    <row r="239" spans="1:15" x14ac:dyDescent="0.3">
      <c r="A239" s="9">
        <v>58</v>
      </c>
      <c r="B239" s="30" t="s">
        <v>282</v>
      </c>
      <c r="C239" s="27" t="s">
        <v>26</v>
      </c>
      <c r="D239" s="10">
        <v>0</v>
      </c>
      <c r="E239" s="28">
        <v>14500</v>
      </c>
      <c r="F239" s="10"/>
      <c r="G239" s="13">
        <f>+D239+E239-F239</f>
        <v>14500</v>
      </c>
      <c r="H239" s="10"/>
      <c r="I239" s="3">
        <f>+G239-H239</f>
        <v>14500</v>
      </c>
      <c r="J239" s="10">
        <v>699</v>
      </c>
      <c r="K239" s="30" t="s">
        <v>220</v>
      </c>
      <c r="N239" s="25"/>
      <c r="O239" s="25"/>
    </row>
    <row r="240" spans="1:15" x14ac:dyDescent="0.3">
      <c r="A240" s="9">
        <v>59</v>
      </c>
      <c r="B240" s="30" t="s">
        <v>283</v>
      </c>
      <c r="C240" s="30" t="s">
        <v>29</v>
      </c>
      <c r="D240" s="10">
        <v>0</v>
      </c>
      <c r="E240" s="28">
        <v>16000</v>
      </c>
      <c r="F240" s="10"/>
      <c r="G240" s="13">
        <f>+D240+E240-F240</f>
        <v>16000</v>
      </c>
      <c r="H240" s="10"/>
      <c r="I240" s="3">
        <f>+G240-H240</f>
        <v>16000</v>
      </c>
      <c r="J240" s="10">
        <v>699</v>
      </c>
      <c r="K240" s="30" t="s">
        <v>222</v>
      </c>
      <c r="N240" s="6"/>
      <c r="O240" s="6"/>
    </row>
    <row r="241" spans="1:12" x14ac:dyDescent="0.3">
      <c r="A241" s="9">
        <v>60</v>
      </c>
      <c r="B241" s="27" t="s">
        <v>284</v>
      </c>
      <c r="C241" s="29" t="s">
        <v>29</v>
      </c>
      <c r="D241" s="9">
        <v>0</v>
      </c>
      <c r="E241" s="28">
        <v>16000</v>
      </c>
      <c r="F241" s="3"/>
      <c r="G241" s="13">
        <f>+D241+E241-F241</f>
        <v>16000</v>
      </c>
      <c r="H241" s="9"/>
      <c r="I241" s="3">
        <f>+G241-H241</f>
        <v>16000</v>
      </c>
      <c r="J241" s="4">
        <v>699</v>
      </c>
      <c r="K241" s="29" t="s">
        <v>222</v>
      </c>
    </row>
    <row r="242" spans="1:12" x14ac:dyDescent="0.3">
      <c r="A242" s="35"/>
      <c r="B242" s="35"/>
      <c r="C242" s="35"/>
      <c r="D242" s="37">
        <f t="shared" ref="D242:I242" si="4">SUM(D182:D241)</f>
        <v>82750</v>
      </c>
      <c r="E242" s="37">
        <f t="shared" si="4"/>
        <v>888000</v>
      </c>
      <c r="F242" s="37">
        <f t="shared" si="4"/>
        <v>0</v>
      </c>
      <c r="G242" s="37">
        <f t="shared" si="4"/>
        <v>970750</v>
      </c>
      <c r="H242" s="37">
        <f t="shared" si="4"/>
        <v>52750</v>
      </c>
      <c r="I242" s="37">
        <f t="shared" si="4"/>
        <v>918000</v>
      </c>
      <c r="J242" s="35"/>
      <c r="K242" s="35"/>
    </row>
    <row r="243" spans="1:12" x14ac:dyDescent="0.3">
      <c r="A243" s="1" t="s">
        <v>0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2" ht="20.25" customHeight="1" x14ac:dyDescent="0.3">
      <c r="A244" s="2" t="s">
        <v>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2" ht="17.25" customHeight="1" x14ac:dyDescent="0.3">
      <c r="A245" s="1" t="s">
        <v>2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2" ht="40.5" customHeight="1" x14ac:dyDescent="0.3">
      <c r="A246" s="3" t="s">
        <v>3</v>
      </c>
      <c r="B246" s="3" t="s">
        <v>4</v>
      </c>
      <c r="C246" s="3" t="s">
        <v>5</v>
      </c>
      <c r="D246" s="3" t="s">
        <v>6</v>
      </c>
      <c r="E246" s="3" t="s">
        <v>7</v>
      </c>
      <c r="F246" s="3" t="s">
        <v>8</v>
      </c>
      <c r="G246" s="3" t="s">
        <v>9</v>
      </c>
      <c r="H246" s="3" t="s">
        <v>10</v>
      </c>
      <c r="I246" s="3" t="s">
        <v>11</v>
      </c>
      <c r="J246" s="3" t="s">
        <v>12</v>
      </c>
      <c r="K246" s="3" t="s">
        <v>13</v>
      </c>
      <c r="L246" s="26" t="s">
        <v>14</v>
      </c>
    </row>
    <row r="247" spans="1:12" x14ac:dyDescent="0.3">
      <c r="A247" s="4">
        <v>1</v>
      </c>
      <c r="B247" s="39" t="s">
        <v>285</v>
      </c>
      <c r="C247" s="27" t="s">
        <v>26</v>
      </c>
      <c r="D247" s="4">
        <v>0</v>
      </c>
      <c r="E247" s="28">
        <v>13000</v>
      </c>
      <c r="F247" s="4"/>
      <c r="G247" s="13">
        <f>+D247+E247-F247</f>
        <v>13000</v>
      </c>
      <c r="H247" s="4"/>
      <c r="I247" s="3">
        <f>+G247-H247</f>
        <v>13000</v>
      </c>
      <c r="J247" s="4">
        <v>142</v>
      </c>
      <c r="K247" s="39" t="s">
        <v>286</v>
      </c>
    </row>
    <row r="248" spans="1:12" x14ac:dyDescent="0.3">
      <c r="A248" s="4">
        <v>2</v>
      </c>
      <c r="B248" s="30" t="s">
        <v>287</v>
      </c>
      <c r="C248" s="30" t="s">
        <v>33</v>
      </c>
      <c r="D248" s="10">
        <v>0</v>
      </c>
      <c r="E248" s="28">
        <v>18500</v>
      </c>
      <c r="F248" s="10"/>
      <c r="G248" s="13">
        <f>+D248+E248-F248</f>
        <v>18500</v>
      </c>
      <c r="H248" s="10"/>
      <c r="I248" s="3">
        <f>+G248-H248</f>
        <v>18500</v>
      </c>
      <c r="J248" s="4">
        <v>142</v>
      </c>
      <c r="K248" s="30" t="s">
        <v>288</v>
      </c>
    </row>
    <row r="249" spans="1:12" x14ac:dyDescent="0.3">
      <c r="A249" s="4">
        <v>3</v>
      </c>
      <c r="B249" s="30" t="s">
        <v>289</v>
      </c>
      <c r="C249" s="27" t="s">
        <v>47</v>
      </c>
      <c r="D249" s="4">
        <v>0</v>
      </c>
      <c r="E249" s="28">
        <v>19000</v>
      </c>
      <c r="F249" s="4"/>
      <c r="G249" s="13">
        <f>+D249+E249-F249</f>
        <v>19000</v>
      </c>
      <c r="H249" s="4"/>
      <c r="I249" s="3">
        <f>+G249-H249</f>
        <v>19000</v>
      </c>
      <c r="J249" s="4">
        <v>142</v>
      </c>
      <c r="K249" s="30" t="s">
        <v>290</v>
      </c>
    </row>
    <row r="250" spans="1:12" x14ac:dyDescent="0.3">
      <c r="A250" s="4">
        <v>4</v>
      </c>
      <c r="B250" s="27" t="s">
        <v>291</v>
      </c>
      <c r="C250" s="30" t="s">
        <v>47</v>
      </c>
      <c r="D250" s="10">
        <v>2500</v>
      </c>
      <c r="E250" s="28">
        <v>14500</v>
      </c>
      <c r="F250" s="10"/>
      <c r="G250" s="13">
        <f>+D250+E250-F250</f>
        <v>17000</v>
      </c>
      <c r="H250" s="10"/>
      <c r="I250" s="3">
        <f>+G250-H250</f>
        <v>17000</v>
      </c>
      <c r="J250" s="4">
        <v>142</v>
      </c>
      <c r="K250" s="29" t="s">
        <v>292</v>
      </c>
    </row>
    <row r="251" spans="1:12" x14ac:dyDescent="0.3">
      <c r="A251" s="4">
        <v>5</v>
      </c>
      <c r="B251" s="27" t="s">
        <v>295</v>
      </c>
      <c r="C251" s="29" t="s">
        <v>193</v>
      </c>
      <c r="D251" s="4">
        <v>0</v>
      </c>
      <c r="E251" s="28">
        <v>19500</v>
      </c>
      <c r="F251" s="3"/>
      <c r="G251" s="13">
        <f>+D251+E251-F251</f>
        <v>19500</v>
      </c>
      <c r="H251" s="9"/>
      <c r="I251" s="3">
        <f>+G251-H251</f>
        <v>19500</v>
      </c>
      <c r="J251" s="4">
        <v>142</v>
      </c>
      <c r="K251" s="29" t="s">
        <v>296</v>
      </c>
    </row>
    <row r="252" spans="1:12" x14ac:dyDescent="0.3">
      <c r="A252" s="4">
        <v>6</v>
      </c>
      <c r="B252" s="30" t="s">
        <v>297</v>
      </c>
      <c r="C252" s="27" t="s">
        <v>29</v>
      </c>
      <c r="D252" s="4">
        <v>5000</v>
      </c>
      <c r="E252" s="28">
        <v>18000</v>
      </c>
      <c r="F252" s="4"/>
      <c r="G252" s="13">
        <f>+D252+E252-F252</f>
        <v>23000</v>
      </c>
      <c r="H252" s="4"/>
      <c r="I252" s="3">
        <f>+G252-H252</f>
        <v>23000</v>
      </c>
      <c r="J252" s="4">
        <v>142</v>
      </c>
      <c r="K252" s="30" t="s">
        <v>298</v>
      </c>
    </row>
    <row r="253" spans="1:12" x14ac:dyDescent="0.3">
      <c r="A253" s="4">
        <v>7</v>
      </c>
      <c r="B253" s="38" t="s">
        <v>299</v>
      </c>
      <c r="C253" s="27" t="s">
        <v>21</v>
      </c>
      <c r="D253" s="4">
        <v>0</v>
      </c>
      <c r="E253" s="28">
        <v>17000</v>
      </c>
      <c r="F253" s="4"/>
      <c r="G253" s="13">
        <f>+D253+E253-F253</f>
        <v>17000</v>
      </c>
      <c r="H253" s="4"/>
      <c r="I253" s="3">
        <f>+G253-H253</f>
        <v>17000</v>
      </c>
      <c r="J253" s="4">
        <v>142</v>
      </c>
      <c r="K253" s="30" t="s">
        <v>300</v>
      </c>
    </row>
    <row r="254" spans="1:12" x14ac:dyDescent="0.3">
      <c r="A254" s="4">
        <v>8</v>
      </c>
      <c r="B254" s="27" t="s">
        <v>301</v>
      </c>
      <c r="C254" s="27" t="s">
        <v>26</v>
      </c>
      <c r="D254" s="4">
        <v>0</v>
      </c>
      <c r="E254" s="28">
        <v>17000</v>
      </c>
      <c r="F254" s="4"/>
      <c r="G254" s="13">
        <f>+D254+E254-F254</f>
        <v>17000</v>
      </c>
      <c r="H254" s="4"/>
      <c r="I254" s="3">
        <f>+G254-H254</f>
        <v>17000</v>
      </c>
      <c r="J254" s="4">
        <v>142</v>
      </c>
      <c r="K254" s="27" t="s">
        <v>300</v>
      </c>
    </row>
    <row r="255" spans="1:12" x14ac:dyDescent="0.3">
      <c r="A255" s="4">
        <v>9</v>
      </c>
      <c r="B255" s="30" t="s">
        <v>302</v>
      </c>
      <c r="C255" s="30" t="s">
        <v>16</v>
      </c>
      <c r="D255" s="10">
        <v>0</v>
      </c>
      <c r="E255" s="28">
        <v>19000</v>
      </c>
      <c r="F255" s="10"/>
      <c r="G255" s="13">
        <f>+D255+E255-F255</f>
        <v>19000</v>
      </c>
      <c r="H255" s="10"/>
      <c r="I255" s="3">
        <f>+G255-H255</f>
        <v>19000</v>
      </c>
      <c r="J255" s="4">
        <v>142</v>
      </c>
      <c r="K255" s="30" t="s">
        <v>303</v>
      </c>
    </row>
    <row r="256" spans="1:12" x14ac:dyDescent="0.3">
      <c r="A256" s="4">
        <v>10</v>
      </c>
      <c r="B256" s="30" t="s">
        <v>304</v>
      </c>
      <c r="C256" s="27" t="s">
        <v>47</v>
      </c>
      <c r="D256" s="4">
        <v>0</v>
      </c>
      <c r="E256" s="28">
        <v>19000</v>
      </c>
      <c r="F256" s="4"/>
      <c r="G256" s="13">
        <f>+D256+E256-F256</f>
        <v>19000</v>
      </c>
      <c r="H256" s="4"/>
      <c r="I256" s="3">
        <f>+G256-H256</f>
        <v>19000</v>
      </c>
      <c r="J256" s="4">
        <v>142</v>
      </c>
      <c r="K256" s="30" t="s">
        <v>290</v>
      </c>
    </row>
    <row r="257" spans="1:11" x14ac:dyDescent="0.3">
      <c r="A257" s="4">
        <v>11</v>
      </c>
      <c r="B257" s="30" t="s">
        <v>305</v>
      </c>
      <c r="C257" s="27" t="s">
        <v>19</v>
      </c>
      <c r="D257" s="4">
        <v>0</v>
      </c>
      <c r="E257" s="28">
        <v>13000</v>
      </c>
      <c r="F257" s="4"/>
      <c r="G257" s="13">
        <f>+D257+E257-F257</f>
        <v>13000</v>
      </c>
      <c r="H257" s="4"/>
      <c r="I257" s="3">
        <f>+G257-H257</f>
        <v>13000</v>
      </c>
      <c r="J257" s="4">
        <v>142</v>
      </c>
      <c r="K257" s="39" t="s">
        <v>286</v>
      </c>
    </row>
    <row r="258" spans="1:11" x14ac:dyDescent="0.3">
      <c r="A258" s="4">
        <v>12</v>
      </c>
      <c r="B258" s="27" t="s">
        <v>308</v>
      </c>
      <c r="C258" s="27" t="s">
        <v>19</v>
      </c>
      <c r="D258" s="4">
        <v>0</v>
      </c>
      <c r="E258" s="28">
        <v>14500</v>
      </c>
      <c r="F258" s="4"/>
      <c r="G258" s="13">
        <f>+D258+E258-F258</f>
        <v>14500</v>
      </c>
      <c r="H258" s="4"/>
      <c r="I258" s="3">
        <f>+G258-H258</f>
        <v>14500</v>
      </c>
      <c r="J258" s="4">
        <v>142</v>
      </c>
      <c r="K258" s="29" t="s">
        <v>309</v>
      </c>
    </row>
    <row r="259" spans="1:11" x14ac:dyDescent="0.3">
      <c r="A259" s="4">
        <v>13</v>
      </c>
      <c r="B259" s="27" t="s">
        <v>310</v>
      </c>
      <c r="C259" s="27" t="s">
        <v>26</v>
      </c>
      <c r="D259" s="4">
        <v>0</v>
      </c>
      <c r="E259" s="28">
        <v>15500</v>
      </c>
      <c r="F259" s="4"/>
      <c r="G259" s="13">
        <f>+D259+E259-F259</f>
        <v>15500</v>
      </c>
      <c r="H259" s="4"/>
      <c r="I259" s="3">
        <f>+G259-H259</f>
        <v>15500</v>
      </c>
      <c r="J259" s="4">
        <v>142</v>
      </c>
      <c r="K259" s="27" t="s">
        <v>307</v>
      </c>
    </row>
    <row r="260" spans="1:11" x14ac:dyDescent="0.3">
      <c r="A260" s="4">
        <v>14</v>
      </c>
      <c r="B260" s="27" t="s">
        <v>311</v>
      </c>
      <c r="C260" s="29" t="s">
        <v>24</v>
      </c>
      <c r="D260" s="9">
        <v>18000</v>
      </c>
      <c r="E260" s="28">
        <v>13000</v>
      </c>
      <c r="F260" s="3"/>
      <c r="G260" s="13">
        <f>+D260+E260-F260</f>
        <v>31000</v>
      </c>
      <c r="H260" s="9">
        <v>6000</v>
      </c>
      <c r="I260" s="3">
        <f>+G260-H260</f>
        <v>25000</v>
      </c>
      <c r="J260" s="4">
        <v>142</v>
      </c>
      <c r="K260" s="29" t="s">
        <v>286</v>
      </c>
    </row>
    <row r="261" spans="1:11" x14ac:dyDescent="0.3">
      <c r="A261" s="4">
        <v>15</v>
      </c>
      <c r="B261" s="27" t="s">
        <v>312</v>
      </c>
      <c r="C261" s="30" t="s">
        <v>33</v>
      </c>
      <c r="D261" s="10">
        <v>0</v>
      </c>
      <c r="E261" s="28">
        <v>15500</v>
      </c>
      <c r="F261" s="10"/>
      <c r="G261" s="13">
        <f>+D261+E261-F261</f>
        <v>15500</v>
      </c>
      <c r="H261" s="10"/>
      <c r="I261" s="3">
        <f>+G261-H261</f>
        <v>15500</v>
      </c>
      <c r="J261" s="4">
        <v>142</v>
      </c>
      <c r="K261" s="29" t="s">
        <v>313</v>
      </c>
    </row>
    <row r="262" spans="1:11" x14ac:dyDescent="0.3">
      <c r="A262" s="4">
        <v>16</v>
      </c>
      <c r="B262" s="30" t="s">
        <v>314</v>
      </c>
      <c r="C262" s="27" t="s">
        <v>43</v>
      </c>
      <c r="D262" s="4">
        <v>0</v>
      </c>
      <c r="E262" s="28">
        <v>13000</v>
      </c>
      <c r="F262" s="4"/>
      <c r="G262" s="13">
        <f>+D262+E262-F262</f>
        <v>13000</v>
      </c>
      <c r="H262" s="4"/>
      <c r="I262" s="3">
        <f>+G262-H262</f>
        <v>13000</v>
      </c>
      <c r="J262" s="4">
        <v>142</v>
      </c>
      <c r="K262" s="30" t="s">
        <v>286</v>
      </c>
    </row>
    <row r="263" spans="1:11" x14ac:dyDescent="0.3">
      <c r="A263" s="4">
        <v>17</v>
      </c>
      <c r="B263" s="27" t="s">
        <v>315</v>
      </c>
      <c r="C263" s="29" t="s">
        <v>193</v>
      </c>
      <c r="D263" s="4">
        <v>0</v>
      </c>
      <c r="E263" s="28">
        <v>19500</v>
      </c>
      <c r="F263" s="3"/>
      <c r="G263" s="13">
        <f>+D263+E263-F263</f>
        <v>19500</v>
      </c>
      <c r="H263" s="9"/>
      <c r="I263" s="3">
        <f>+G263-H263</f>
        <v>19500</v>
      </c>
      <c r="J263" s="4">
        <v>142</v>
      </c>
      <c r="K263" s="29" t="s">
        <v>296</v>
      </c>
    </row>
    <row r="264" spans="1:11" x14ac:dyDescent="0.3">
      <c r="A264" s="4">
        <v>18</v>
      </c>
      <c r="B264" s="27" t="s">
        <v>316</v>
      </c>
      <c r="C264" s="29" t="s">
        <v>33</v>
      </c>
      <c r="D264" s="9">
        <v>7250</v>
      </c>
      <c r="E264" s="28">
        <v>15500</v>
      </c>
      <c r="F264" s="3"/>
      <c r="G264" s="13">
        <f>+D264+E264-F264</f>
        <v>22750</v>
      </c>
      <c r="H264" s="9"/>
      <c r="I264" s="3">
        <f>+G264-H264</f>
        <v>22750</v>
      </c>
      <c r="J264" s="4">
        <v>142</v>
      </c>
      <c r="K264" s="29" t="s">
        <v>317</v>
      </c>
    </row>
    <row r="265" spans="1:11" x14ac:dyDescent="0.3">
      <c r="A265" s="4">
        <v>19</v>
      </c>
      <c r="B265" s="30" t="s">
        <v>318</v>
      </c>
      <c r="C265" s="27" t="s">
        <v>43</v>
      </c>
      <c r="D265" s="4">
        <v>6000</v>
      </c>
      <c r="E265" s="28">
        <v>13000</v>
      </c>
      <c r="F265" s="4"/>
      <c r="G265" s="13">
        <f>+D265+E265-F265</f>
        <v>19000</v>
      </c>
      <c r="H265" s="4"/>
      <c r="I265" s="3">
        <f>+G265-H265</f>
        <v>19000</v>
      </c>
      <c r="J265" s="4">
        <v>142</v>
      </c>
      <c r="K265" s="30" t="s">
        <v>286</v>
      </c>
    </row>
    <row r="266" spans="1:11" x14ac:dyDescent="0.3">
      <c r="A266" s="4">
        <v>20</v>
      </c>
      <c r="B266" s="30" t="s">
        <v>306</v>
      </c>
      <c r="C266" s="27" t="s">
        <v>43</v>
      </c>
      <c r="D266" s="4"/>
      <c r="E266" s="28">
        <v>15500</v>
      </c>
      <c r="F266" s="4"/>
      <c r="G266" s="13">
        <f>+D266+E266-F266</f>
        <v>15500</v>
      </c>
      <c r="H266" s="4"/>
      <c r="I266" s="3">
        <f>+G266-H266</f>
        <v>15500</v>
      </c>
      <c r="J266" s="4">
        <v>142</v>
      </c>
      <c r="K266" s="39" t="s">
        <v>307</v>
      </c>
    </row>
    <row r="267" spans="1:11" x14ac:dyDescent="0.3">
      <c r="A267" s="4">
        <v>21</v>
      </c>
      <c r="B267" s="30" t="s">
        <v>319</v>
      </c>
      <c r="C267" s="30" t="s">
        <v>16</v>
      </c>
      <c r="D267" s="10">
        <v>0</v>
      </c>
      <c r="E267" s="28">
        <v>19000</v>
      </c>
      <c r="F267" s="10"/>
      <c r="G267" s="13">
        <f>+D267+E267-F267</f>
        <v>19000</v>
      </c>
      <c r="H267" s="10"/>
      <c r="I267" s="3">
        <f>+G267-H267</f>
        <v>19000</v>
      </c>
      <c r="J267" s="4">
        <v>142</v>
      </c>
      <c r="K267" s="38" t="s">
        <v>303</v>
      </c>
    </row>
    <row r="268" spans="1:11" x14ac:dyDescent="0.3">
      <c r="A268" s="4">
        <v>22</v>
      </c>
      <c r="B268" s="27" t="s">
        <v>320</v>
      </c>
      <c r="C268" s="29" t="s">
        <v>33</v>
      </c>
      <c r="D268" s="9">
        <v>0</v>
      </c>
      <c r="E268" s="28">
        <v>15500</v>
      </c>
      <c r="F268" s="3"/>
      <c r="G268" s="13">
        <f>+D268+E268-F268</f>
        <v>15500</v>
      </c>
      <c r="H268" s="9"/>
      <c r="I268" s="3">
        <f>+G268-H268</f>
        <v>15500</v>
      </c>
      <c r="J268" s="4">
        <v>142</v>
      </c>
      <c r="K268" s="29" t="s">
        <v>313</v>
      </c>
    </row>
    <row r="269" spans="1:11" x14ac:dyDescent="0.3">
      <c r="A269" s="4">
        <v>23</v>
      </c>
      <c r="B269" s="27" t="s">
        <v>321</v>
      </c>
      <c r="C269" s="29" t="s">
        <v>26</v>
      </c>
      <c r="D269" s="9">
        <v>9500</v>
      </c>
      <c r="E269" s="28">
        <v>15500</v>
      </c>
      <c r="F269" s="3"/>
      <c r="G269" s="13">
        <f>+D269+E269-F269</f>
        <v>25000</v>
      </c>
      <c r="H269" s="9"/>
      <c r="I269" s="3">
        <f>+G269-H269</f>
        <v>25000</v>
      </c>
      <c r="J269" s="4">
        <v>142</v>
      </c>
      <c r="K269" s="27" t="s">
        <v>307</v>
      </c>
    </row>
    <row r="270" spans="1:11" x14ac:dyDescent="0.3">
      <c r="A270" s="4">
        <v>24</v>
      </c>
      <c r="B270" s="27" t="s">
        <v>293</v>
      </c>
      <c r="C270" s="31" t="s">
        <v>31</v>
      </c>
      <c r="D270" s="10"/>
      <c r="E270" s="28">
        <v>17000</v>
      </c>
      <c r="F270" s="10"/>
      <c r="G270" s="13">
        <f>+D270+E270-F270</f>
        <v>17000</v>
      </c>
      <c r="H270" s="10"/>
      <c r="I270" s="3">
        <f>+G270-H270</f>
        <v>17000</v>
      </c>
      <c r="J270" s="4">
        <v>142</v>
      </c>
      <c r="K270" s="29" t="s">
        <v>294</v>
      </c>
    </row>
    <row r="271" spans="1:11" x14ac:dyDescent="0.3">
      <c r="A271" s="4">
        <v>25</v>
      </c>
      <c r="B271" s="27" t="s">
        <v>322</v>
      </c>
      <c r="C271" s="29" t="s">
        <v>24</v>
      </c>
      <c r="D271" s="9">
        <v>6000</v>
      </c>
      <c r="E271" s="28">
        <v>13000</v>
      </c>
      <c r="F271" s="3"/>
      <c r="G271" s="13">
        <f>+D271+E271-F271</f>
        <v>19000</v>
      </c>
      <c r="H271" s="9">
        <v>6000</v>
      </c>
      <c r="I271" s="3">
        <f>+G271-H271</f>
        <v>13000</v>
      </c>
      <c r="J271" s="4">
        <v>142</v>
      </c>
      <c r="K271" s="29" t="s">
        <v>286</v>
      </c>
    </row>
    <row r="272" spans="1:11" x14ac:dyDescent="0.3">
      <c r="A272" s="4">
        <v>26</v>
      </c>
      <c r="B272" s="27" t="s">
        <v>323</v>
      </c>
      <c r="C272" s="29" t="s">
        <v>29</v>
      </c>
      <c r="D272" s="9">
        <v>9000</v>
      </c>
      <c r="E272" s="28">
        <v>19000</v>
      </c>
      <c r="F272" s="3"/>
      <c r="G272" s="13">
        <f>+D272+E272-F272</f>
        <v>28000</v>
      </c>
      <c r="H272" s="9">
        <v>9000</v>
      </c>
      <c r="I272" s="3">
        <f>+G272-H272</f>
        <v>19000</v>
      </c>
      <c r="J272" s="4">
        <v>142</v>
      </c>
      <c r="K272" s="33" t="s">
        <v>324</v>
      </c>
    </row>
    <row r="273" spans="1:11" x14ac:dyDescent="0.3">
      <c r="A273" s="4">
        <v>27</v>
      </c>
      <c r="B273" s="30" t="s">
        <v>325</v>
      </c>
      <c r="C273" s="31" t="s">
        <v>19</v>
      </c>
      <c r="D273" s="32">
        <v>0</v>
      </c>
      <c r="E273" s="28">
        <v>19000</v>
      </c>
      <c r="F273" s="32"/>
      <c r="G273" s="13">
        <f>+D273+E273-F273</f>
        <v>19000</v>
      </c>
      <c r="H273" s="9"/>
      <c r="I273" s="3">
        <f>+G273-H273</f>
        <v>19000</v>
      </c>
      <c r="J273" s="4">
        <v>142</v>
      </c>
      <c r="K273" s="30" t="s">
        <v>326</v>
      </c>
    </row>
    <row r="274" spans="1:11" x14ac:dyDescent="0.3">
      <c r="A274" s="4">
        <v>28</v>
      </c>
      <c r="B274" s="27" t="s">
        <v>327</v>
      </c>
      <c r="C274" s="29" t="s">
        <v>33</v>
      </c>
      <c r="D274" s="9">
        <v>8500</v>
      </c>
      <c r="E274" s="28">
        <v>19000</v>
      </c>
      <c r="F274" s="3"/>
      <c r="G274" s="13">
        <f>+D274+E274-F274</f>
        <v>27500</v>
      </c>
      <c r="H274" s="9">
        <v>5000</v>
      </c>
      <c r="I274" s="3">
        <f>+G274-H274</f>
        <v>22500</v>
      </c>
      <c r="J274" s="4">
        <v>142</v>
      </c>
      <c r="K274" s="38" t="s">
        <v>303</v>
      </c>
    </row>
    <row r="275" spans="1:11" x14ac:dyDescent="0.3">
      <c r="A275" s="4">
        <v>29</v>
      </c>
      <c r="B275" s="27" t="s">
        <v>328</v>
      </c>
      <c r="C275" s="29" t="s">
        <v>21</v>
      </c>
      <c r="D275" s="9">
        <v>0</v>
      </c>
      <c r="E275" s="28">
        <v>13000</v>
      </c>
      <c r="F275" s="3"/>
      <c r="G275" s="13">
        <f>+D275+E275-F275</f>
        <v>13000</v>
      </c>
      <c r="H275" s="9"/>
      <c r="I275" s="3">
        <f>+G275-H275</f>
        <v>13000</v>
      </c>
      <c r="J275" s="4">
        <v>142</v>
      </c>
      <c r="K275" s="29" t="s">
        <v>286</v>
      </c>
    </row>
    <row r="276" spans="1:11" x14ac:dyDescent="0.3">
      <c r="A276" s="4">
        <v>30</v>
      </c>
      <c r="B276" s="30" t="s">
        <v>329</v>
      </c>
      <c r="C276" s="27" t="s">
        <v>16</v>
      </c>
      <c r="D276" s="10">
        <v>0</v>
      </c>
      <c r="E276" s="28">
        <v>18000</v>
      </c>
      <c r="F276" s="10"/>
      <c r="G276" s="13">
        <f>+D276+E276-F276</f>
        <v>18000</v>
      </c>
      <c r="H276" s="10"/>
      <c r="I276" s="3">
        <f>+G276-H276</f>
        <v>18000</v>
      </c>
      <c r="J276" s="4">
        <v>142</v>
      </c>
      <c r="K276" s="30" t="s">
        <v>330</v>
      </c>
    </row>
    <row r="277" spans="1:11" x14ac:dyDescent="0.3">
      <c r="A277" s="4">
        <v>31</v>
      </c>
      <c r="B277" s="30" t="s">
        <v>331</v>
      </c>
      <c r="C277" s="38" t="s">
        <v>29</v>
      </c>
      <c r="D277" s="9">
        <v>8000</v>
      </c>
      <c r="E277" s="10">
        <v>17000</v>
      </c>
      <c r="F277" s="3"/>
      <c r="G277" s="13">
        <f>+D277+E277-F277</f>
        <v>25000</v>
      </c>
      <c r="H277" s="9">
        <v>8000</v>
      </c>
      <c r="I277" s="3">
        <f>+G277-H277</f>
        <v>17000</v>
      </c>
      <c r="J277" s="4">
        <v>142</v>
      </c>
      <c r="K277" s="30" t="s">
        <v>332</v>
      </c>
    </row>
    <row r="278" spans="1:11" x14ac:dyDescent="0.3">
      <c r="A278" s="4">
        <v>32</v>
      </c>
      <c r="B278" s="27" t="s">
        <v>333</v>
      </c>
      <c r="C278" s="38" t="s">
        <v>193</v>
      </c>
      <c r="D278" s="4">
        <v>0</v>
      </c>
      <c r="E278" s="28">
        <v>20000</v>
      </c>
      <c r="F278" s="3"/>
      <c r="G278" s="13">
        <f>+D278+E278-F278</f>
        <v>20000</v>
      </c>
      <c r="H278" s="9"/>
      <c r="I278" s="3">
        <f>+G278-H278</f>
        <v>20000</v>
      </c>
      <c r="J278" s="4">
        <v>142</v>
      </c>
      <c r="K278" s="29" t="s">
        <v>334</v>
      </c>
    </row>
    <row r="279" spans="1:11" x14ac:dyDescent="0.3">
      <c r="A279" s="4">
        <v>33</v>
      </c>
      <c r="B279" s="30" t="s">
        <v>335</v>
      </c>
      <c r="C279" s="31" t="s">
        <v>31</v>
      </c>
      <c r="D279" s="32">
        <v>9000</v>
      </c>
      <c r="E279" s="28">
        <v>19000</v>
      </c>
      <c r="F279" s="32"/>
      <c r="G279" s="13">
        <f>+D279+E279-F279</f>
        <v>28000</v>
      </c>
      <c r="H279" s="9"/>
      <c r="I279" s="3">
        <f>+G279-H279</f>
        <v>28000</v>
      </c>
      <c r="J279" s="4">
        <v>142</v>
      </c>
      <c r="K279" s="30" t="s">
        <v>303</v>
      </c>
    </row>
    <row r="280" spans="1:11" x14ac:dyDescent="0.3">
      <c r="A280" s="4">
        <v>34</v>
      </c>
      <c r="B280" s="27" t="s">
        <v>336</v>
      </c>
      <c r="C280" s="27" t="s">
        <v>16</v>
      </c>
      <c r="D280" s="4">
        <v>0</v>
      </c>
      <c r="E280" s="28">
        <v>13000</v>
      </c>
      <c r="F280" s="4"/>
      <c r="G280" s="13">
        <f>+D280+E280-F280</f>
        <v>13000</v>
      </c>
      <c r="H280" s="4"/>
      <c r="I280" s="3">
        <f>+G280-H280</f>
        <v>13000</v>
      </c>
      <c r="J280" s="4">
        <v>142</v>
      </c>
      <c r="K280" s="29" t="s">
        <v>286</v>
      </c>
    </row>
    <row r="281" spans="1:11" x14ac:dyDescent="0.3">
      <c r="A281" s="4">
        <v>35</v>
      </c>
      <c r="B281" s="27" t="s">
        <v>337</v>
      </c>
      <c r="C281" s="29" t="s">
        <v>29</v>
      </c>
      <c r="D281" s="9">
        <v>7250</v>
      </c>
      <c r="E281" s="28">
        <v>15500</v>
      </c>
      <c r="F281" s="3"/>
      <c r="G281" s="13">
        <f>+D281+E281-F281</f>
        <v>22750</v>
      </c>
      <c r="H281" s="9"/>
      <c r="I281" s="3">
        <f>+G281-H281</f>
        <v>22750</v>
      </c>
      <c r="J281" s="4">
        <v>142</v>
      </c>
      <c r="K281" s="29" t="s">
        <v>313</v>
      </c>
    </row>
    <row r="282" spans="1:11" x14ac:dyDescent="0.3">
      <c r="A282" s="4">
        <v>36</v>
      </c>
      <c r="B282" s="30" t="s">
        <v>338</v>
      </c>
      <c r="C282" s="27" t="s">
        <v>24</v>
      </c>
      <c r="D282" s="4">
        <v>5000</v>
      </c>
      <c r="E282" s="28">
        <v>18000</v>
      </c>
      <c r="F282" s="4"/>
      <c r="G282" s="13">
        <f>+D282+E282-F282</f>
        <v>23000</v>
      </c>
      <c r="H282" s="4">
        <v>7000</v>
      </c>
      <c r="I282" s="3">
        <f>+G282-H282</f>
        <v>16000</v>
      </c>
      <c r="J282" s="4">
        <v>142</v>
      </c>
      <c r="K282" s="30" t="s">
        <v>298</v>
      </c>
    </row>
    <row r="283" spans="1:11" x14ac:dyDescent="0.3">
      <c r="A283" s="4">
        <v>37</v>
      </c>
      <c r="B283" s="27" t="s">
        <v>339</v>
      </c>
      <c r="C283" s="38" t="s">
        <v>193</v>
      </c>
      <c r="D283" s="4">
        <v>0</v>
      </c>
      <c r="E283" s="28">
        <v>20000</v>
      </c>
      <c r="F283" s="3"/>
      <c r="G283" s="13">
        <f>+D283+E283-F283</f>
        <v>20000</v>
      </c>
      <c r="H283" s="9"/>
      <c r="I283" s="3">
        <f>+G283-H283</f>
        <v>20000</v>
      </c>
      <c r="J283" s="4">
        <v>142</v>
      </c>
      <c r="K283" s="29" t="s">
        <v>334</v>
      </c>
    </row>
    <row r="284" spans="1:11" x14ac:dyDescent="0.3">
      <c r="A284" s="4">
        <v>38</v>
      </c>
      <c r="B284" s="27" t="s">
        <v>340</v>
      </c>
      <c r="C284" s="38" t="s">
        <v>193</v>
      </c>
      <c r="D284" s="4">
        <v>0</v>
      </c>
      <c r="E284" s="28">
        <v>20000</v>
      </c>
      <c r="F284" s="3"/>
      <c r="G284" s="13">
        <f>+D284+E284-F284</f>
        <v>20000</v>
      </c>
      <c r="H284" s="9"/>
      <c r="I284" s="3">
        <f>+G284-H284</f>
        <v>20000</v>
      </c>
      <c r="J284" s="4">
        <v>142</v>
      </c>
      <c r="K284" s="29" t="s">
        <v>334</v>
      </c>
    </row>
    <row r="285" spans="1:11" x14ac:dyDescent="0.3">
      <c r="A285" s="4">
        <v>39</v>
      </c>
      <c r="B285" s="27" t="s">
        <v>341</v>
      </c>
      <c r="C285" s="29" t="s">
        <v>26</v>
      </c>
      <c r="D285" s="9">
        <v>0</v>
      </c>
      <c r="E285" s="28">
        <v>13000</v>
      </c>
      <c r="F285" s="3"/>
      <c r="G285" s="13">
        <f>+D285+E285-F285</f>
        <v>13000</v>
      </c>
      <c r="H285" s="9"/>
      <c r="I285" s="3">
        <f>+G285-H285</f>
        <v>13000</v>
      </c>
      <c r="J285" s="4">
        <v>142</v>
      </c>
      <c r="K285" s="29" t="s">
        <v>286</v>
      </c>
    </row>
    <row r="286" spans="1:11" x14ac:dyDescent="0.3">
      <c r="A286" s="4">
        <v>40</v>
      </c>
      <c r="B286" s="27" t="s">
        <v>342</v>
      </c>
      <c r="C286" s="29" t="s">
        <v>33</v>
      </c>
      <c r="D286" s="9">
        <v>0</v>
      </c>
      <c r="E286" s="28">
        <v>19000</v>
      </c>
      <c r="F286" s="3"/>
      <c r="G286" s="13">
        <f>+D286+E286-F286</f>
        <v>19000</v>
      </c>
      <c r="H286" s="9"/>
      <c r="I286" s="3">
        <f>+G286-H286</f>
        <v>19000</v>
      </c>
      <c r="J286" s="4">
        <v>142</v>
      </c>
      <c r="K286" s="29" t="s">
        <v>324</v>
      </c>
    </row>
    <row r="287" spans="1:11" x14ac:dyDescent="0.3">
      <c r="A287" s="4">
        <v>41</v>
      </c>
      <c r="B287" s="27" t="s">
        <v>343</v>
      </c>
      <c r="C287" s="29" t="s">
        <v>21</v>
      </c>
      <c r="D287" s="9">
        <v>16000</v>
      </c>
      <c r="E287" s="28">
        <v>14500</v>
      </c>
      <c r="F287" s="3"/>
      <c r="G287" s="13">
        <f>+D287+E287-F287</f>
        <v>30500</v>
      </c>
      <c r="H287" s="9">
        <v>5000</v>
      </c>
      <c r="I287" s="3">
        <f>+G287-H287</f>
        <v>25500</v>
      </c>
      <c r="J287" s="4">
        <v>142</v>
      </c>
      <c r="K287" s="29" t="s">
        <v>309</v>
      </c>
    </row>
    <row r="288" spans="1:11" x14ac:dyDescent="0.3">
      <c r="A288" s="4">
        <v>42</v>
      </c>
      <c r="B288" s="27" t="s">
        <v>344</v>
      </c>
      <c r="C288" s="27" t="s">
        <v>29</v>
      </c>
      <c r="D288" s="4">
        <v>0</v>
      </c>
      <c r="E288" s="28">
        <v>14500</v>
      </c>
      <c r="F288" s="4"/>
      <c r="G288" s="13">
        <f>+D288+E288-F288</f>
        <v>14500</v>
      </c>
      <c r="H288" s="4"/>
      <c r="I288" s="3">
        <f>+G288-H288</f>
        <v>14500</v>
      </c>
      <c r="J288" s="4">
        <v>142</v>
      </c>
      <c r="K288" s="27" t="s">
        <v>292</v>
      </c>
    </row>
    <row r="289" spans="1:11" x14ac:dyDescent="0.3">
      <c r="A289" s="4">
        <v>43</v>
      </c>
      <c r="B289" s="27" t="s">
        <v>345</v>
      </c>
      <c r="C289" s="29" t="s">
        <v>16</v>
      </c>
      <c r="D289" s="9">
        <v>9000</v>
      </c>
      <c r="E289" s="28">
        <v>19000</v>
      </c>
      <c r="F289" s="3"/>
      <c r="G289" s="13">
        <f>+D289+E289-F289</f>
        <v>28000</v>
      </c>
      <c r="H289" s="9">
        <v>9000</v>
      </c>
      <c r="I289" s="3">
        <f>+G289-H289</f>
        <v>19000</v>
      </c>
      <c r="J289" s="4">
        <v>142</v>
      </c>
      <c r="K289" s="33" t="s">
        <v>324</v>
      </c>
    </row>
    <row r="290" spans="1:11" x14ac:dyDescent="0.3">
      <c r="A290" s="4">
        <v>44</v>
      </c>
      <c r="B290" s="30" t="s">
        <v>346</v>
      </c>
      <c r="C290" s="31" t="s">
        <v>31</v>
      </c>
      <c r="D290" s="32">
        <v>0</v>
      </c>
      <c r="E290" s="28">
        <v>18000</v>
      </c>
      <c r="F290" s="32"/>
      <c r="G290" s="13">
        <f>+D290+E290-F290</f>
        <v>18000</v>
      </c>
      <c r="H290" s="32"/>
      <c r="I290" s="3">
        <f>+G290-H290</f>
        <v>18000</v>
      </c>
      <c r="J290" s="4">
        <v>142</v>
      </c>
      <c r="K290" s="30" t="s">
        <v>298</v>
      </c>
    </row>
    <row r="291" spans="1:11" x14ac:dyDescent="0.3">
      <c r="A291" s="4">
        <v>45</v>
      </c>
      <c r="B291" s="30" t="s">
        <v>347</v>
      </c>
      <c r="C291" s="31" t="s">
        <v>26</v>
      </c>
      <c r="D291" s="32">
        <v>3500</v>
      </c>
      <c r="E291" s="28">
        <v>19000</v>
      </c>
      <c r="F291" s="32"/>
      <c r="G291" s="13">
        <f>+D291+E291-F291</f>
        <v>22500</v>
      </c>
      <c r="H291" s="10">
        <v>3500</v>
      </c>
      <c r="I291" s="3">
        <f>+G291-H291</f>
        <v>19000</v>
      </c>
      <c r="J291" s="4">
        <v>142</v>
      </c>
      <c r="K291" s="30" t="s">
        <v>303</v>
      </c>
    </row>
    <row r="292" spans="1:11" x14ac:dyDescent="0.3">
      <c r="A292" s="4">
        <v>46</v>
      </c>
      <c r="B292" s="27" t="s">
        <v>348</v>
      </c>
      <c r="C292" s="30" t="s">
        <v>47</v>
      </c>
      <c r="D292" s="10">
        <v>3500</v>
      </c>
      <c r="E292" s="28">
        <v>14500</v>
      </c>
      <c r="F292" s="10"/>
      <c r="G292" s="13">
        <f>+D292+E292-F292</f>
        <v>18000</v>
      </c>
      <c r="H292" s="10">
        <v>3500</v>
      </c>
      <c r="I292" s="3">
        <f>+G292-H292</f>
        <v>14500</v>
      </c>
      <c r="J292" s="4">
        <v>142</v>
      </c>
      <c r="K292" s="29" t="s">
        <v>309</v>
      </c>
    </row>
    <row r="293" spans="1:11" x14ac:dyDescent="0.3">
      <c r="A293" s="35"/>
      <c r="B293" s="35"/>
      <c r="C293" s="35"/>
      <c r="D293" s="37">
        <f t="shared" ref="D293:I293" si="5">SUM(D247:D292)</f>
        <v>133000</v>
      </c>
      <c r="E293" s="37">
        <f t="shared" si="5"/>
        <v>764500</v>
      </c>
      <c r="F293" s="37">
        <f t="shared" si="5"/>
        <v>0</v>
      </c>
      <c r="G293" s="37">
        <f t="shared" si="5"/>
        <v>897500</v>
      </c>
      <c r="H293" s="37">
        <f t="shared" si="5"/>
        <v>62000</v>
      </c>
      <c r="I293" s="37">
        <f t="shared" si="5"/>
        <v>835500</v>
      </c>
      <c r="J293" s="35"/>
      <c r="K293" s="35"/>
    </row>
    <row r="294" spans="1:11" x14ac:dyDescent="0.3">
      <c r="A294" s="1" t="s">
        <v>0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25.5" customHeight="1" x14ac:dyDescent="0.3">
      <c r="A295" s="2" t="s">
        <v>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7.25" customHeight="1" x14ac:dyDescent="0.3">
      <c r="A296" s="1" t="s">
        <v>2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40.5" customHeight="1" x14ac:dyDescent="0.3">
      <c r="A297" s="3" t="s">
        <v>3</v>
      </c>
      <c r="B297" s="3" t="s">
        <v>4</v>
      </c>
      <c r="C297" s="3" t="s">
        <v>5</v>
      </c>
      <c r="D297" s="3" t="s">
        <v>6</v>
      </c>
      <c r="E297" s="3" t="s">
        <v>7</v>
      </c>
      <c r="F297" s="3" t="s">
        <v>8</v>
      </c>
      <c r="G297" s="3" t="s">
        <v>9</v>
      </c>
      <c r="H297" s="3" t="s">
        <v>10</v>
      </c>
      <c r="I297" s="3" t="s">
        <v>11</v>
      </c>
      <c r="J297" s="3" t="s">
        <v>12</v>
      </c>
      <c r="K297" s="3" t="s">
        <v>13</v>
      </c>
    </row>
    <row r="298" spans="1:11" x14ac:dyDescent="0.3">
      <c r="A298" s="9">
        <v>1</v>
      </c>
      <c r="B298" s="27" t="s">
        <v>349</v>
      </c>
      <c r="C298" s="27" t="s">
        <v>29</v>
      </c>
      <c r="D298" s="4">
        <v>0</v>
      </c>
      <c r="E298" s="28">
        <v>14500</v>
      </c>
      <c r="F298" s="4"/>
      <c r="G298" s="13">
        <f>+D298+E298-F298</f>
        <v>14500</v>
      </c>
      <c r="H298" s="4"/>
      <c r="I298" s="3">
        <f>+G298-H298</f>
        <v>14500</v>
      </c>
      <c r="J298" s="4">
        <v>4388</v>
      </c>
      <c r="K298" s="27" t="s">
        <v>350</v>
      </c>
    </row>
    <row r="299" spans="1:11" x14ac:dyDescent="0.3">
      <c r="A299" s="9">
        <v>2</v>
      </c>
      <c r="B299" s="30" t="s">
        <v>351</v>
      </c>
      <c r="C299" s="31" t="s">
        <v>31</v>
      </c>
      <c r="D299" s="32">
        <v>0</v>
      </c>
      <c r="E299" s="28">
        <v>14500</v>
      </c>
      <c r="F299" s="32"/>
      <c r="G299" s="13">
        <f>+D299+E299-F299</f>
        <v>14500</v>
      </c>
      <c r="H299" s="32"/>
      <c r="I299" s="3">
        <f>+G299-H299</f>
        <v>14500</v>
      </c>
      <c r="J299" s="4">
        <v>4388</v>
      </c>
      <c r="K299" s="30" t="s">
        <v>350</v>
      </c>
    </row>
    <row r="300" spans="1:11" x14ac:dyDescent="0.3">
      <c r="A300" s="9">
        <v>3</v>
      </c>
      <c r="B300" s="27" t="s">
        <v>352</v>
      </c>
      <c r="C300" s="30" t="s">
        <v>33</v>
      </c>
      <c r="D300" s="10">
        <v>6000</v>
      </c>
      <c r="E300" s="28">
        <v>17000</v>
      </c>
      <c r="F300" s="10"/>
      <c r="G300" s="13">
        <f>+D300+E300-F300</f>
        <v>23000</v>
      </c>
      <c r="H300" s="10">
        <v>6000</v>
      </c>
      <c r="I300" s="3">
        <f>+G300-H300</f>
        <v>17000</v>
      </c>
      <c r="J300" s="4">
        <v>4388</v>
      </c>
      <c r="K300" s="30" t="s">
        <v>353</v>
      </c>
    </row>
    <row r="301" spans="1:11" x14ac:dyDescent="0.3">
      <c r="A301" s="9">
        <v>4</v>
      </c>
      <c r="B301" s="27" t="s">
        <v>354</v>
      </c>
      <c r="C301" s="29" t="s">
        <v>26</v>
      </c>
      <c r="D301" s="9">
        <v>8500</v>
      </c>
      <c r="E301" s="28">
        <v>14500</v>
      </c>
      <c r="F301" s="3"/>
      <c r="G301" s="13">
        <f>+D301+E301-F301</f>
        <v>23000</v>
      </c>
      <c r="H301" s="9">
        <v>8500</v>
      </c>
      <c r="I301" s="3">
        <f>+G301-H301</f>
        <v>14500</v>
      </c>
      <c r="J301" s="4">
        <v>4388</v>
      </c>
      <c r="K301" s="29" t="s">
        <v>350</v>
      </c>
    </row>
    <row r="302" spans="1:11" x14ac:dyDescent="0.3">
      <c r="A302" s="9">
        <v>5</v>
      </c>
      <c r="B302" s="30" t="s">
        <v>355</v>
      </c>
      <c r="C302" s="27" t="s">
        <v>29</v>
      </c>
      <c r="D302" s="4">
        <v>6000</v>
      </c>
      <c r="E302" s="28">
        <v>14500</v>
      </c>
      <c r="F302" s="4"/>
      <c r="G302" s="13">
        <f>+D302+E302-F302</f>
        <v>20500</v>
      </c>
      <c r="H302" s="4">
        <v>6000</v>
      </c>
      <c r="I302" s="3">
        <f>+G302-H302</f>
        <v>14500</v>
      </c>
      <c r="J302" s="4">
        <v>4388</v>
      </c>
      <c r="K302" s="29" t="s">
        <v>356</v>
      </c>
    </row>
    <row r="303" spans="1:11" x14ac:dyDescent="0.3">
      <c r="A303" s="9">
        <v>6</v>
      </c>
      <c r="B303" s="30" t="s">
        <v>357</v>
      </c>
      <c r="C303" s="27" t="s">
        <v>31</v>
      </c>
      <c r="D303" s="4">
        <v>0</v>
      </c>
      <c r="E303" s="28">
        <v>14500</v>
      </c>
      <c r="F303" s="4"/>
      <c r="G303" s="13">
        <f>+D303+E303-F303</f>
        <v>14500</v>
      </c>
      <c r="H303" s="4"/>
      <c r="I303" s="3">
        <f>+G303-H303</f>
        <v>14500</v>
      </c>
      <c r="J303" s="4">
        <v>4388</v>
      </c>
      <c r="K303" s="30" t="s">
        <v>350</v>
      </c>
    </row>
    <row r="304" spans="1:11" x14ac:dyDescent="0.3">
      <c r="A304" s="9">
        <v>7</v>
      </c>
      <c r="B304" s="30" t="s">
        <v>358</v>
      </c>
      <c r="C304" s="30" t="s">
        <v>26</v>
      </c>
      <c r="D304" s="10">
        <v>8000</v>
      </c>
      <c r="E304" s="10">
        <v>21000</v>
      </c>
      <c r="F304" s="10"/>
      <c r="G304" s="13">
        <f>+D304+E304-F304</f>
        <v>29000</v>
      </c>
      <c r="H304" s="10">
        <v>8000</v>
      </c>
      <c r="I304" s="3">
        <f>+G304-H304</f>
        <v>21000</v>
      </c>
      <c r="J304" s="4">
        <v>4388</v>
      </c>
      <c r="K304" s="30" t="s">
        <v>359</v>
      </c>
    </row>
    <row r="305" spans="1:13" x14ac:dyDescent="0.3">
      <c r="A305" s="9">
        <v>8</v>
      </c>
      <c r="B305" s="30" t="s">
        <v>360</v>
      </c>
      <c r="C305" s="38" t="s">
        <v>29</v>
      </c>
      <c r="D305" s="9">
        <v>4500</v>
      </c>
      <c r="E305" s="28">
        <v>17000</v>
      </c>
      <c r="F305" s="3"/>
      <c r="G305" s="13">
        <f>+D305+E305-F305</f>
        <v>21500</v>
      </c>
      <c r="H305" s="9"/>
      <c r="I305" s="3">
        <f>+G305-H305</f>
        <v>21500</v>
      </c>
      <c r="J305" s="4">
        <v>4388</v>
      </c>
      <c r="K305" s="30" t="s">
        <v>353</v>
      </c>
    </row>
    <row r="306" spans="1:13" x14ac:dyDescent="0.3">
      <c r="A306" s="9">
        <v>9</v>
      </c>
      <c r="B306" s="27" t="s">
        <v>361</v>
      </c>
      <c r="C306" s="27" t="s">
        <v>31</v>
      </c>
      <c r="D306" s="4">
        <v>0</v>
      </c>
      <c r="E306" s="28">
        <v>17000</v>
      </c>
      <c r="F306" s="4"/>
      <c r="G306" s="13">
        <f>+D306+E306-F306</f>
        <v>17000</v>
      </c>
      <c r="H306" s="4"/>
      <c r="I306" s="3">
        <f>+G306-H306</f>
        <v>17000</v>
      </c>
      <c r="J306" s="4">
        <v>4388</v>
      </c>
      <c r="K306" s="30" t="s">
        <v>353</v>
      </c>
      <c r="M306" s="5"/>
    </row>
    <row r="307" spans="1:13" x14ac:dyDescent="0.3">
      <c r="A307" s="9">
        <v>10</v>
      </c>
      <c r="B307" s="27" t="s">
        <v>362</v>
      </c>
      <c r="C307" s="29" t="s">
        <v>21</v>
      </c>
      <c r="D307" s="9">
        <v>3500</v>
      </c>
      <c r="E307" s="28">
        <v>14500</v>
      </c>
      <c r="F307" s="3"/>
      <c r="G307" s="13">
        <f>+D307+E307-F307</f>
        <v>18000</v>
      </c>
      <c r="H307" s="9">
        <v>3500</v>
      </c>
      <c r="I307" s="3">
        <f>+G307-H307</f>
        <v>14500</v>
      </c>
      <c r="J307" s="4">
        <v>4388</v>
      </c>
      <c r="K307" s="29" t="s">
        <v>363</v>
      </c>
      <c r="M307" s="5"/>
    </row>
    <row r="308" spans="1:13" x14ac:dyDescent="0.3">
      <c r="A308" s="9">
        <v>11</v>
      </c>
      <c r="B308" s="27" t="s">
        <v>364</v>
      </c>
      <c r="C308" s="29" t="s">
        <v>26</v>
      </c>
      <c r="D308" s="9">
        <v>23000</v>
      </c>
      <c r="E308" s="28">
        <v>15000</v>
      </c>
      <c r="F308" s="3"/>
      <c r="G308" s="13">
        <f>+D308+E308-F308</f>
        <v>38000</v>
      </c>
      <c r="H308" s="9">
        <v>15000</v>
      </c>
      <c r="I308" s="3">
        <f>+G308-H308</f>
        <v>23000</v>
      </c>
      <c r="J308" s="4">
        <v>4388</v>
      </c>
      <c r="K308" s="29" t="s">
        <v>365</v>
      </c>
      <c r="M308" s="5"/>
    </row>
    <row r="309" spans="1:13" x14ac:dyDescent="0.3">
      <c r="A309" s="9">
        <v>12</v>
      </c>
      <c r="B309" s="27" t="s">
        <v>366</v>
      </c>
      <c r="C309" s="29" t="s">
        <v>24</v>
      </c>
      <c r="D309" s="9">
        <v>6500</v>
      </c>
      <c r="E309" s="28">
        <v>17500</v>
      </c>
      <c r="F309" s="3"/>
      <c r="G309" s="13">
        <f>+D309+E309-F309</f>
        <v>24000</v>
      </c>
      <c r="H309" s="9">
        <v>6500</v>
      </c>
      <c r="I309" s="3">
        <f>+G309-H309</f>
        <v>17500</v>
      </c>
      <c r="J309" s="4">
        <v>4388</v>
      </c>
      <c r="K309" s="33" t="s">
        <v>367</v>
      </c>
      <c r="M309" s="5"/>
    </row>
    <row r="310" spans="1:13" x14ac:dyDescent="0.3">
      <c r="A310" s="9">
        <v>13</v>
      </c>
      <c r="B310" s="30" t="s">
        <v>368</v>
      </c>
      <c r="C310" s="30" t="s">
        <v>29</v>
      </c>
      <c r="D310" s="10">
        <v>0</v>
      </c>
      <c r="E310" s="28">
        <v>14500</v>
      </c>
      <c r="F310" s="10"/>
      <c r="G310" s="13">
        <f>+D310+E310-F310</f>
        <v>14500</v>
      </c>
      <c r="H310" s="10"/>
      <c r="I310" s="3">
        <f>+G310-H310</f>
        <v>14500</v>
      </c>
      <c r="J310" s="4">
        <v>4388</v>
      </c>
      <c r="K310" s="29" t="s">
        <v>369</v>
      </c>
      <c r="M310" s="5"/>
    </row>
    <row r="311" spans="1:13" x14ac:dyDescent="0.3">
      <c r="A311" s="9">
        <v>14</v>
      </c>
      <c r="B311" s="30" t="s">
        <v>370</v>
      </c>
      <c r="C311" s="30" t="s">
        <v>29</v>
      </c>
      <c r="D311" s="10">
        <v>0</v>
      </c>
      <c r="E311" s="28">
        <v>17000</v>
      </c>
      <c r="F311" s="10"/>
      <c r="G311" s="13">
        <f>+D311+E311-F311</f>
        <v>17000</v>
      </c>
      <c r="H311" s="10"/>
      <c r="I311" s="3">
        <f>+G311-H311</f>
        <v>17000</v>
      </c>
      <c r="J311" s="4">
        <v>4388</v>
      </c>
      <c r="K311" s="30" t="s">
        <v>353</v>
      </c>
      <c r="M311" s="5"/>
    </row>
    <row r="312" spans="1:13" x14ac:dyDescent="0.3">
      <c r="A312" s="9">
        <v>15</v>
      </c>
      <c r="B312" s="27" t="s">
        <v>371</v>
      </c>
      <c r="C312" s="27" t="s">
        <v>24</v>
      </c>
      <c r="D312" s="4">
        <v>0</v>
      </c>
      <c r="E312" s="28">
        <v>14500</v>
      </c>
      <c r="F312" s="4"/>
      <c r="G312" s="13">
        <f>+D312+E312-F312</f>
        <v>14500</v>
      </c>
      <c r="H312" s="4"/>
      <c r="I312" s="3">
        <f>+G312-H312</f>
        <v>14500</v>
      </c>
      <c r="J312" s="4">
        <v>4388</v>
      </c>
      <c r="K312" s="29" t="s">
        <v>356</v>
      </c>
      <c r="M312" s="5"/>
    </row>
    <row r="313" spans="1:13" x14ac:dyDescent="0.3">
      <c r="A313" s="9">
        <v>16</v>
      </c>
      <c r="B313" s="30" t="s">
        <v>372</v>
      </c>
      <c r="C313" s="30" t="s">
        <v>47</v>
      </c>
      <c r="D313" s="10">
        <v>0</v>
      </c>
      <c r="E313" s="28">
        <v>18000</v>
      </c>
      <c r="F313" s="10"/>
      <c r="G313" s="13">
        <f>+D313+E313-F313</f>
        <v>18000</v>
      </c>
      <c r="H313" s="10"/>
      <c r="I313" s="3">
        <f>+G313-H313</f>
        <v>18000</v>
      </c>
      <c r="J313" s="4">
        <v>4388</v>
      </c>
      <c r="K313" s="30" t="s">
        <v>373</v>
      </c>
      <c r="M313" s="5"/>
    </row>
    <row r="314" spans="1:13" x14ac:dyDescent="0.3">
      <c r="A314" s="9">
        <v>17</v>
      </c>
      <c r="B314" s="27" t="s">
        <v>374</v>
      </c>
      <c r="C314" s="27" t="s">
        <v>26</v>
      </c>
      <c r="D314" s="4">
        <v>0</v>
      </c>
      <c r="E314" s="28">
        <v>14500</v>
      </c>
      <c r="F314" s="4"/>
      <c r="G314" s="13">
        <f>+D314+E314-F314</f>
        <v>14500</v>
      </c>
      <c r="H314" s="4"/>
      <c r="I314" s="3">
        <f>+G314-H314</f>
        <v>14500</v>
      </c>
      <c r="J314" s="4">
        <v>4388</v>
      </c>
      <c r="K314" s="29" t="s">
        <v>85</v>
      </c>
      <c r="M314" s="5"/>
    </row>
    <row r="315" spans="1:13" x14ac:dyDescent="0.3">
      <c r="A315" s="9">
        <v>18</v>
      </c>
      <c r="B315" s="27" t="s">
        <v>375</v>
      </c>
      <c r="C315" s="27" t="s">
        <v>31</v>
      </c>
      <c r="D315" s="4">
        <v>0</v>
      </c>
      <c r="E315" s="28">
        <v>17000</v>
      </c>
      <c r="F315" s="4"/>
      <c r="G315" s="13">
        <f>+D315+E315-F315</f>
        <v>17000</v>
      </c>
      <c r="H315" s="4"/>
      <c r="I315" s="3">
        <f>+G315-H315</f>
        <v>17000</v>
      </c>
      <c r="J315" s="4">
        <v>4388</v>
      </c>
      <c r="K315" s="30" t="s">
        <v>353</v>
      </c>
      <c r="M315" s="5"/>
    </row>
    <row r="316" spans="1:13" x14ac:dyDescent="0.3">
      <c r="A316" s="9">
        <v>19</v>
      </c>
      <c r="B316" s="27" t="s">
        <v>376</v>
      </c>
      <c r="C316" s="27" t="s">
        <v>24</v>
      </c>
      <c r="D316" s="4">
        <v>0</v>
      </c>
      <c r="E316" s="28">
        <v>14500</v>
      </c>
      <c r="F316" s="4"/>
      <c r="G316" s="13">
        <f>+D316+E316-F316</f>
        <v>14500</v>
      </c>
      <c r="H316" s="4"/>
      <c r="I316" s="3">
        <f>+G316-H316</f>
        <v>14500</v>
      </c>
      <c r="J316" s="4">
        <v>4388</v>
      </c>
      <c r="K316" s="29" t="s">
        <v>356</v>
      </c>
      <c r="M316" s="5"/>
    </row>
    <row r="317" spans="1:13" x14ac:dyDescent="0.3">
      <c r="A317" s="9">
        <v>20</v>
      </c>
      <c r="B317" s="30" t="s">
        <v>377</v>
      </c>
      <c r="C317" s="27" t="s">
        <v>31</v>
      </c>
      <c r="D317" s="4">
        <v>8500</v>
      </c>
      <c r="E317" s="28">
        <v>18000</v>
      </c>
      <c r="F317" s="4"/>
      <c r="G317" s="13">
        <f>+D317+E317-F317</f>
        <v>26500</v>
      </c>
      <c r="H317" s="4">
        <v>8500</v>
      </c>
      <c r="I317" s="3">
        <f>+G317-H317</f>
        <v>18000</v>
      </c>
      <c r="J317" s="4">
        <v>4388</v>
      </c>
      <c r="K317" s="30" t="s">
        <v>378</v>
      </c>
    </row>
    <row r="318" spans="1:13" x14ac:dyDescent="0.3">
      <c r="A318" s="9">
        <v>21</v>
      </c>
      <c r="B318" s="30" t="s">
        <v>379</v>
      </c>
      <c r="C318" s="27" t="s">
        <v>26</v>
      </c>
      <c r="D318" s="4">
        <v>0</v>
      </c>
      <c r="E318" s="28">
        <v>16500</v>
      </c>
      <c r="F318" s="4"/>
      <c r="G318" s="13">
        <f>+D318+E318-F318</f>
        <v>16500</v>
      </c>
      <c r="H318" s="4"/>
      <c r="I318" s="3">
        <f>+G318-H318</f>
        <v>16500</v>
      </c>
      <c r="J318" s="4">
        <v>4388</v>
      </c>
      <c r="K318" s="29" t="s">
        <v>380</v>
      </c>
    </row>
    <row r="319" spans="1:13" x14ac:dyDescent="0.3">
      <c r="A319" s="9">
        <v>22</v>
      </c>
      <c r="B319" s="27" t="s">
        <v>381</v>
      </c>
      <c r="C319" s="30" t="s">
        <v>33</v>
      </c>
      <c r="D319" s="10">
        <v>0</v>
      </c>
      <c r="E319" s="28">
        <v>17000</v>
      </c>
      <c r="F319" s="10"/>
      <c r="G319" s="13">
        <f>+D319+E319-F319</f>
        <v>17000</v>
      </c>
      <c r="H319" s="10"/>
      <c r="I319" s="3">
        <f>+G319-H319</f>
        <v>17000</v>
      </c>
      <c r="J319" s="4">
        <v>4388</v>
      </c>
      <c r="K319" s="29" t="s">
        <v>382</v>
      </c>
    </row>
    <row r="320" spans="1:13" x14ac:dyDescent="0.3">
      <c r="A320" s="9">
        <v>23</v>
      </c>
      <c r="B320" s="30" t="s">
        <v>383</v>
      </c>
      <c r="C320" s="38" t="s">
        <v>24</v>
      </c>
      <c r="D320" s="9">
        <v>0</v>
      </c>
      <c r="E320" s="28">
        <v>14500</v>
      </c>
      <c r="F320" s="3"/>
      <c r="G320" s="13">
        <f>+D320+E320-F320</f>
        <v>14500</v>
      </c>
      <c r="H320" s="9"/>
      <c r="I320" s="3">
        <f>+G320-H320</f>
        <v>14500</v>
      </c>
      <c r="J320" s="4">
        <v>4388</v>
      </c>
      <c r="K320" s="30" t="s">
        <v>350</v>
      </c>
    </row>
    <row r="321" spans="1:11" x14ac:dyDescent="0.3">
      <c r="A321" s="9">
        <v>24</v>
      </c>
      <c r="B321" s="27" t="s">
        <v>384</v>
      </c>
      <c r="C321" s="27" t="s">
        <v>26</v>
      </c>
      <c r="D321" s="4">
        <v>0</v>
      </c>
      <c r="E321" s="28">
        <v>17000</v>
      </c>
      <c r="F321" s="4"/>
      <c r="G321" s="13">
        <f>+D321+E321-F321</f>
        <v>17000</v>
      </c>
      <c r="H321" s="4"/>
      <c r="I321" s="3">
        <f>+G321-H321</f>
        <v>17000</v>
      </c>
      <c r="J321" s="4">
        <v>4388</v>
      </c>
      <c r="K321" s="29" t="s">
        <v>382</v>
      </c>
    </row>
    <row r="322" spans="1:11" x14ac:dyDescent="0.3">
      <c r="A322" s="9">
        <v>25</v>
      </c>
      <c r="B322" s="27" t="s">
        <v>385</v>
      </c>
      <c r="C322" s="29" t="s">
        <v>31</v>
      </c>
      <c r="D322" s="9">
        <v>13500</v>
      </c>
      <c r="E322" s="28">
        <v>14500</v>
      </c>
      <c r="F322" s="3"/>
      <c r="G322" s="13">
        <f>+D322+E322-F322</f>
        <v>28000</v>
      </c>
      <c r="H322" s="9">
        <v>13500</v>
      </c>
      <c r="I322" s="3">
        <f>+G322-H322</f>
        <v>14500</v>
      </c>
      <c r="J322" s="4">
        <v>4388</v>
      </c>
      <c r="K322" s="29" t="s">
        <v>363</v>
      </c>
    </row>
    <row r="323" spans="1:11" x14ac:dyDescent="0.3">
      <c r="A323" s="9">
        <v>26</v>
      </c>
      <c r="B323" s="30" t="s">
        <v>386</v>
      </c>
      <c r="C323" s="30" t="s">
        <v>33</v>
      </c>
      <c r="D323" s="10">
        <v>0</v>
      </c>
      <c r="E323" s="28">
        <v>14500</v>
      </c>
      <c r="F323" s="10"/>
      <c r="G323" s="13">
        <f>+D323+E323-F323</f>
        <v>14500</v>
      </c>
      <c r="H323" s="10"/>
      <c r="I323" s="3">
        <f>+G323-H323</f>
        <v>14500</v>
      </c>
      <c r="J323" s="4">
        <v>4388</v>
      </c>
      <c r="K323" s="30" t="s">
        <v>350</v>
      </c>
    </row>
    <row r="324" spans="1:11" x14ac:dyDescent="0.3">
      <c r="A324" s="9">
        <v>27</v>
      </c>
      <c r="B324" s="30" t="s">
        <v>387</v>
      </c>
      <c r="C324" s="38" t="s">
        <v>19</v>
      </c>
      <c r="D324" s="9">
        <v>15000</v>
      </c>
      <c r="E324" s="28">
        <v>15000</v>
      </c>
      <c r="F324" s="3"/>
      <c r="G324" s="13">
        <f>+D324+E324-F324</f>
        <v>30000</v>
      </c>
      <c r="H324" s="9">
        <v>5000</v>
      </c>
      <c r="I324" s="3">
        <f>+G324-H324</f>
        <v>25000</v>
      </c>
      <c r="J324" s="4">
        <v>4388</v>
      </c>
      <c r="K324" s="30" t="s">
        <v>365</v>
      </c>
    </row>
    <row r="325" spans="1:11" x14ac:dyDescent="0.3">
      <c r="A325" s="9">
        <v>28</v>
      </c>
      <c r="B325" s="30" t="s">
        <v>388</v>
      </c>
      <c r="C325" s="27" t="s">
        <v>193</v>
      </c>
      <c r="D325" s="4">
        <v>0</v>
      </c>
      <c r="E325" s="28">
        <v>14500</v>
      </c>
      <c r="F325" s="4"/>
      <c r="G325" s="13">
        <f>+D325+E325-F325</f>
        <v>14500</v>
      </c>
      <c r="H325" s="4"/>
      <c r="I325" s="3">
        <f>+G325-H325</f>
        <v>14500</v>
      </c>
      <c r="J325" s="4">
        <v>4388</v>
      </c>
      <c r="K325" s="30" t="s">
        <v>350</v>
      </c>
    </row>
    <row r="326" spans="1:11" x14ac:dyDescent="0.3">
      <c r="A326" s="9">
        <v>29</v>
      </c>
      <c r="B326" s="30" t="s">
        <v>389</v>
      </c>
      <c r="C326" s="30" t="s">
        <v>33</v>
      </c>
      <c r="D326" s="10">
        <v>6750</v>
      </c>
      <c r="E326" s="28">
        <v>14500</v>
      </c>
      <c r="F326" s="10"/>
      <c r="G326" s="13">
        <f>+D326+E326-F326</f>
        <v>21250</v>
      </c>
      <c r="H326" s="10"/>
      <c r="I326" s="3">
        <f>+G326-H326</f>
        <v>21250</v>
      </c>
      <c r="J326" s="4">
        <v>4388</v>
      </c>
      <c r="K326" s="30" t="s">
        <v>350</v>
      </c>
    </row>
    <row r="327" spans="1:11" x14ac:dyDescent="0.3">
      <c r="A327" s="9">
        <v>30</v>
      </c>
      <c r="B327" s="30" t="s">
        <v>390</v>
      </c>
      <c r="C327" s="31" t="s">
        <v>26</v>
      </c>
      <c r="D327" s="32">
        <v>8000</v>
      </c>
      <c r="E327" s="28">
        <v>17000</v>
      </c>
      <c r="F327" s="32"/>
      <c r="G327" s="13">
        <f>+D327+E327-F327</f>
        <v>25000</v>
      </c>
      <c r="H327" s="10">
        <v>8000</v>
      </c>
      <c r="I327" s="3">
        <f>+G327-H327</f>
        <v>17000</v>
      </c>
      <c r="J327" s="4">
        <v>4388</v>
      </c>
      <c r="K327" s="30" t="s">
        <v>353</v>
      </c>
    </row>
    <row r="328" spans="1:11" x14ac:dyDescent="0.3">
      <c r="A328" s="9">
        <v>31</v>
      </c>
      <c r="B328" s="27" t="s">
        <v>391</v>
      </c>
      <c r="C328" s="29" t="s">
        <v>26</v>
      </c>
      <c r="D328" s="9">
        <v>13500</v>
      </c>
      <c r="E328" s="28">
        <v>14500</v>
      </c>
      <c r="F328" s="3"/>
      <c r="G328" s="13">
        <f>+D328+E328-F328</f>
        <v>28000</v>
      </c>
      <c r="H328" s="9">
        <v>13500</v>
      </c>
      <c r="I328" s="3">
        <f>+G328-H328</f>
        <v>14500</v>
      </c>
      <c r="J328" s="4">
        <v>4388</v>
      </c>
      <c r="K328" s="29" t="s">
        <v>363</v>
      </c>
    </row>
    <row r="329" spans="1:11" x14ac:dyDescent="0.3">
      <c r="A329" s="9">
        <v>32</v>
      </c>
      <c r="B329" s="30" t="s">
        <v>392</v>
      </c>
      <c r="C329" s="30" t="s">
        <v>16</v>
      </c>
      <c r="D329" s="10">
        <v>0</v>
      </c>
      <c r="E329" s="28">
        <v>17000</v>
      </c>
      <c r="F329" s="10"/>
      <c r="G329" s="13">
        <f>+D329+E329-F329</f>
        <v>17000</v>
      </c>
      <c r="H329" s="10"/>
      <c r="I329" s="3">
        <f>+G329-H329</f>
        <v>17000</v>
      </c>
      <c r="J329" s="4">
        <v>4388</v>
      </c>
      <c r="K329" s="30" t="s">
        <v>393</v>
      </c>
    </row>
    <row r="330" spans="1:11" x14ac:dyDescent="0.3">
      <c r="A330" s="9">
        <v>33</v>
      </c>
      <c r="B330" s="27" t="s">
        <v>394</v>
      </c>
      <c r="C330" s="31" t="s">
        <v>16</v>
      </c>
      <c r="D330" s="4">
        <v>0</v>
      </c>
      <c r="E330" s="28">
        <v>17500</v>
      </c>
      <c r="F330" s="10"/>
      <c r="G330" s="13">
        <f>+D330+E330-F330</f>
        <v>17500</v>
      </c>
      <c r="H330" s="10">
        <v>5000</v>
      </c>
      <c r="I330" s="3">
        <f>+G330-H330</f>
        <v>12500</v>
      </c>
      <c r="J330" s="4">
        <v>4388</v>
      </c>
      <c r="K330" s="30" t="s">
        <v>395</v>
      </c>
    </row>
    <row r="331" spans="1:11" x14ac:dyDescent="0.3">
      <c r="A331" s="9">
        <v>34</v>
      </c>
      <c r="B331" s="27" t="s">
        <v>396</v>
      </c>
      <c r="C331" s="30" t="s">
        <v>33</v>
      </c>
      <c r="D331" s="10">
        <v>3500</v>
      </c>
      <c r="E331" s="28">
        <v>14500</v>
      </c>
      <c r="F331" s="10"/>
      <c r="G331" s="13">
        <f>+D331+E331-F331</f>
        <v>18000</v>
      </c>
      <c r="H331" s="10">
        <v>3500</v>
      </c>
      <c r="I331" s="3">
        <f>+G331-H331</f>
        <v>14500</v>
      </c>
      <c r="J331" s="4">
        <v>4388</v>
      </c>
      <c r="K331" s="29" t="s">
        <v>363</v>
      </c>
    </row>
    <row r="332" spans="1:11" x14ac:dyDescent="0.3">
      <c r="A332" s="9">
        <v>35</v>
      </c>
      <c r="B332" s="30" t="s">
        <v>397</v>
      </c>
      <c r="C332" s="38" t="s">
        <v>29</v>
      </c>
      <c r="D332" s="9">
        <v>0</v>
      </c>
      <c r="E332" s="28">
        <v>17500</v>
      </c>
      <c r="F332" s="3"/>
      <c r="G332" s="13">
        <f>+D332+E332-F332</f>
        <v>17500</v>
      </c>
      <c r="H332" s="9"/>
      <c r="I332" s="3">
        <f>+G332-H332</f>
        <v>17500</v>
      </c>
      <c r="J332" s="4">
        <v>4388</v>
      </c>
      <c r="K332" s="30" t="s">
        <v>367</v>
      </c>
    </row>
    <row r="333" spans="1:11" x14ac:dyDescent="0.3">
      <c r="A333" s="9">
        <v>36</v>
      </c>
      <c r="B333" s="30" t="s">
        <v>398</v>
      </c>
      <c r="C333" s="31" t="s">
        <v>26</v>
      </c>
      <c r="D333" s="32">
        <v>0</v>
      </c>
      <c r="E333" s="28">
        <v>17500</v>
      </c>
      <c r="F333" s="32"/>
      <c r="G333" s="13">
        <f>+D333+E333-F333</f>
        <v>17500</v>
      </c>
      <c r="H333" s="10"/>
      <c r="I333" s="3">
        <f>+G333-H333</f>
        <v>17500</v>
      </c>
      <c r="J333" s="4">
        <v>4388</v>
      </c>
      <c r="K333" s="30" t="s">
        <v>367</v>
      </c>
    </row>
    <row r="334" spans="1:11" x14ac:dyDescent="0.3">
      <c r="A334" s="9">
        <v>37</v>
      </c>
      <c r="B334" s="27" t="s">
        <v>399</v>
      </c>
      <c r="C334" s="27" t="s">
        <v>31</v>
      </c>
      <c r="D334" s="4">
        <v>3500</v>
      </c>
      <c r="E334" s="28">
        <v>14500</v>
      </c>
      <c r="F334" s="4"/>
      <c r="G334" s="13">
        <f>+D334+E334-F334</f>
        <v>18000</v>
      </c>
      <c r="H334" s="4"/>
      <c r="I334" s="3">
        <f>+G334-H334</f>
        <v>18000</v>
      </c>
      <c r="J334" s="4">
        <v>4388</v>
      </c>
      <c r="K334" s="29" t="s">
        <v>350</v>
      </c>
    </row>
    <row r="335" spans="1:11" x14ac:dyDescent="0.3">
      <c r="A335" s="9">
        <v>38</v>
      </c>
      <c r="B335" s="27" t="s">
        <v>400</v>
      </c>
      <c r="C335" s="27" t="s">
        <v>21</v>
      </c>
      <c r="D335" s="4">
        <v>10125</v>
      </c>
      <c r="E335" s="28">
        <v>14500</v>
      </c>
      <c r="F335" s="4"/>
      <c r="G335" s="13">
        <f>+D335+E335-F335</f>
        <v>24625</v>
      </c>
      <c r="H335" s="10"/>
      <c r="I335" s="3">
        <f>+G335-H335</f>
        <v>24625</v>
      </c>
      <c r="J335" s="4">
        <v>4388</v>
      </c>
      <c r="K335" s="29" t="s">
        <v>350</v>
      </c>
    </row>
    <row r="336" spans="1:11" x14ac:dyDescent="0.3">
      <c r="A336" s="9">
        <v>39</v>
      </c>
      <c r="B336" s="27" t="s">
        <v>401</v>
      </c>
      <c r="C336" s="30" t="s">
        <v>47</v>
      </c>
      <c r="D336" s="10">
        <v>0</v>
      </c>
      <c r="E336" s="28">
        <v>17000</v>
      </c>
      <c r="F336" s="10"/>
      <c r="G336" s="13">
        <f>+D336+E336-F336</f>
        <v>17000</v>
      </c>
      <c r="H336" s="10"/>
      <c r="I336" s="3">
        <f>+G336-H336</f>
        <v>17000</v>
      </c>
      <c r="J336" s="4">
        <v>4388</v>
      </c>
      <c r="K336" s="30" t="s">
        <v>353</v>
      </c>
    </row>
    <row r="337" spans="1:12" x14ac:dyDescent="0.3">
      <c r="A337" s="9">
        <v>40</v>
      </c>
      <c r="B337" s="30" t="s">
        <v>402</v>
      </c>
      <c r="C337" s="27" t="s">
        <v>31</v>
      </c>
      <c r="D337" s="4">
        <v>3500</v>
      </c>
      <c r="E337" s="28">
        <v>14500</v>
      </c>
      <c r="F337" s="4"/>
      <c r="G337" s="13">
        <f>+D337+E337-F337</f>
        <v>18000</v>
      </c>
      <c r="H337" s="4">
        <v>3500</v>
      </c>
      <c r="I337" s="3">
        <f>+G337-H337</f>
        <v>14500</v>
      </c>
      <c r="J337" s="4">
        <v>4388</v>
      </c>
      <c r="K337" s="30" t="s">
        <v>350</v>
      </c>
    </row>
    <row r="338" spans="1:12" x14ac:dyDescent="0.3">
      <c r="A338" s="9">
        <v>41</v>
      </c>
      <c r="B338" s="27" t="s">
        <v>403</v>
      </c>
      <c r="C338" s="29" t="s">
        <v>31</v>
      </c>
      <c r="D338" s="9">
        <v>0</v>
      </c>
      <c r="E338" s="28">
        <v>14500</v>
      </c>
      <c r="F338" s="3"/>
      <c r="G338" s="13">
        <f>+D338+E338-F338</f>
        <v>14500</v>
      </c>
      <c r="H338" s="9"/>
      <c r="I338" s="3">
        <f>+G338-H338</f>
        <v>14500</v>
      </c>
      <c r="J338" s="4">
        <v>4388</v>
      </c>
      <c r="K338" s="30" t="s">
        <v>350</v>
      </c>
    </row>
    <row r="339" spans="1:12" x14ac:dyDescent="0.3">
      <c r="A339" s="9">
        <v>42</v>
      </c>
      <c r="B339" s="30" t="s">
        <v>404</v>
      </c>
      <c r="C339" s="31" t="s">
        <v>26</v>
      </c>
      <c r="D339" s="32">
        <v>0</v>
      </c>
      <c r="E339" s="28">
        <v>17000</v>
      </c>
      <c r="F339" s="32"/>
      <c r="G339" s="13">
        <f>+D339+E339-F339</f>
        <v>17000</v>
      </c>
      <c r="H339" s="10"/>
      <c r="I339" s="3">
        <f>+G339-H339</f>
        <v>17000</v>
      </c>
      <c r="J339" s="4">
        <v>4388</v>
      </c>
      <c r="K339" s="30" t="s">
        <v>353</v>
      </c>
    </row>
    <row r="340" spans="1:12" x14ac:dyDescent="0.3">
      <c r="A340" s="9">
        <v>43</v>
      </c>
      <c r="B340" s="27" t="s">
        <v>405</v>
      </c>
      <c r="C340" s="27" t="s">
        <v>31</v>
      </c>
      <c r="D340" s="4">
        <v>0</v>
      </c>
      <c r="E340" s="28">
        <v>15000</v>
      </c>
      <c r="F340" s="4"/>
      <c r="G340" s="13">
        <f>+D340+E340-F340</f>
        <v>15000</v>
      </c>
      <c r="H340" s="4"/>
      <c r="I340" s="3">
        <f>+G340-H340</f>
        <v>15000</v>
      </c>
      <c r="J340" s="4">
        <v>4388</v>
      </c>
      <c r="K340" s="29" t="s">
        <v>365</v>
      </c>
    </row>
    <row r="341" spans="1:12" x14ac:dyDescent="0.3">
      <c r="A341" s="9">
        <v>44</v>
      </c>
      <c r="B341" s="27" t="s">
        <v>406</v>
      </c>
      <c r="C341" s="27" t="s">
        <v>31</v>
      </c>
      <c r="D341" s="4">
        <v>0</v>
      </c>
      <c r="E341" s="28">
        <v>14500</v>
      </c>
      <c r="F341" s="4"/>
      <c r="G341" s="13">
        <f>+D341+E341-F341</f>
        <v>14500</v>
      </c>
      <c r="H341" s="4"/>
      <c r="I341" s="3">
        <f>+G341-H341</f>
        <v>14500</v>
      </c>
      <c r="J341" s="4">
        <v>4388</v>
      </c>
      <c r="K341" s="29" t="s">
        <v>356</v>
      </c>
    </row>
    <row r="342" spans="1:12" x14ac:dyDescent="0.3">
      <c r="A342" s="35"/>
      <c r="B342" s="35"/>
      <c r="C342" s="35"/>
      <c r="D342" s="37">
        <f t="shared" ref="D342:I342" si="6">SUM(D298:D341)</f>
        <v>151875</v>
      </c>
      <c r="E342" s="37">
        <f t="shared" si="6"/>
        <v>694500</v>
      </c>
      <c r="F342" s="37">
        <f t="shared" si="6"/>
        <v>0</v>
      </c>
      <c r="G342" s="37">
        <f t="shared" si="6"/>
        <v>846375</v>
      </c>
      <c r="H342" s="37">
        <f t="shared" si="6"/>
        <v>114000</v>
      </c>
      <c r="I342" s="37">
        <f t="shared" si="6"/>
        <v>732375</v>
      </c>
      <c r="J342" s="35"/>
      <c r="K342" s="35"/>
    </row>
    <row r="343" spans="1:12" x14ac:dyDescent="0.3">
      <c r="A343" s="1" t="s">
        <v>0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2" ht="20.25" customHeight="1" x14ac:dyDescent="0.3">
      <c r="A344" s="2" t="s">
        <v>1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2" ht="17.25" customHeight="1" x14ac:dyDescent="0.3">
      <c r="A345" s="1" t="s">
        <v>2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2" ht="40.5" customHeight="1" x14ac:dyDescent="0.3">
      <c r="A346" s="3" t="s">
        <v>3</v>
      </c>
      <c r="B346" s="3" t="s">
        <v>4</v>
      </c>
      <c r="C346" s="3" t="s">
        <v>5</v>
      </c>
      <c r="D346" s="3" t="s">
        <v>6</v>
      </c>
      <c r="E346" s="3" t="s">
        <v>7</v>
      </c>
      <c r="F346" s="3" t="s">
        <v>8</v>
      </c>
      <c r="G346" s="3" t="s">
        <v>9</v>
      </c>
      <c r="H346" s="3" t="s">
        <v>10</v>
      </c>
      <c r="I346" s="3" t="s">
        <v>11</v>
      </c>
      <c r="J346" s="3" t="s">
        <v>12</v>
      </c>
      <c r="K346" s="3" t="s">
        <v>13</v>
      </c>
      <c r="L346" s="26" t="s">
        <v>14</v>
      </c>
    </row>
    <row r="347" spans="1:12" x14ac:dyDescent="0.3">
      <c r="A347" s="4">
        <v>1</v>
      </c>
      <c r="B347" s="27" t="s">
        <v>407</v>
      </c>
      <c r="C347" s="30" t="s">
        <v>33</v>
      </c>
      <c r="D347" s="10">
        <v>3500</v>
      </c>
      <c r="E347" s="28">
        <v>14500</v>
      </c>
      <c r="F347" s="10"/>
      <c r="G347" s="13">
        <f>+D347+E347-F347</f>
        <v>18000</v>
      </c>
      <c r="H347" s="10">
        <v>3500</v>
      </c>
      <c r="I347" s="3">
        <f>+G347-H347</f>
        <v>14500</v>
      </c>
      <c r="J347" s="4">
        <v>4389</v>
      </c>
      <c r="K347" s="29" t="s">
        <v>408</v>
      </c>
    </row>
    <row r="348" spans="1:12" x14ac:dyDescent="0.3">
      <c r="A348" s="4">
        <v>2</v>
      </c>
      <c r="B348" s="30" t="s">
        <v>409</v>
      </c>
      <c r="C348" s="30" t="s">
        <v>16</v>
      </c>
      <c r="D348" s="10">
        <v>0</v>
      </c>
      <c r="E348" s="28">
        <v>14500</v>
      </c>
      <c r="F348" s="10"/>
      <c r="G348" s="13">
        <f>+D348+E348-F348</f>
        <v>14500</v>
      </c>
      <c r="H348" s="10"/>
      <c r="I348" s="3">
        <f>+G348-H348</f>
        <v>14500</v>
      </c>
      <c r="J348" s="10">
        <v>4389</v>
      </c>
      <c r="K348" s="30" t="s">
        <v>410</v>
      </c>
    </row>
    <row r="349" spans="1:12" x14ac:dyDescent="0.3">
      <c r="A349" s="4">
        <v>3</v>
      </c>
      <c r="B349" s="27" t="s">
        <v>411</v>
      </c>
      <c r="C349" s="30" t="s">
        <v>47</v>
      </c>
      <c r="D349" s="4">
        <v>9000</v>
      </c>
      <c r="E349" s="28">
        <v>9500</v>
      </c>
      <c r="F349" s="4"/>
      <c r="G349" s="13">
        <f>+D349+E349-F349</f>
        <v>18500</v>
      </c>
      <c r="H349" s="4"/>
      <c r="I349" s="3">
        <f>+G349-H349</f>
        <v>18500</v>
      </c>
      <c r="J349" s="4">
        <v>4389</v>
      </c>
      <c r="K349" s="29" t="s">
        <v>412</v>
      </c>
    </row>
    <row r="350" spans="1:12" x14ac:dyDescent="0.3">
      <c r="A350" s="4">
        <v>4</v>
      </c>
      <c r="B350" s="30" t="s">
        <v>413</v>
      </c>
      <c r="C350" s="29" t="s">
        <v>29</v>
      </c>
      <c r="D350" s="9">
        <v>0</v>
      </c>
      <c r="E350" s="28">
        <v>14500</v>
      </c>
      <c r="F350" s="3"/>
      <c r="G350" s="13">
        <f>+D350+E350-F350</f>
        <v>14500</v>
      </c>
      <c r="H350" s="9"/>
      <c r="I350" s="3">
        <f>+G350-H350</f>
        <v>14500</v>
      </c>
      <c r="J350" s="4">
        <v>4389</v>
      </c>
      <c r="K350" s="30" t="s">
        <v>408</v>
      </c>
    </row>
    <row r="351" spans="1:12" x14ac:dyDescent="0.3">
      <c r="A351" s="4">
        <v>5</v>
      </c>
      <c r="B351" s="27" t="s">
        <v>414</v>
      </c>
      <c r="C351" s="27" t="s">
        <v>21</v>
      </c>
      <c r="D351" s="4">
        <v>0</v>
      </c>
      <c r="E351" s="28">
        <v>9500</v>
      </c>
      <c r="F351" s="4"/>
      <c r="G351" s="13">
        <f>+D351+E351-F351</f>
        <v>9500</v>
      </c>
      <c r="H351" s="4"/>
      <c r="I351" s="3">
        <f>+G351-H351</f>
        <v>9500</v>
      </c>
      <c r="J351" s="4">
        <v>4389</v>
      </c>
      <c r="K351" s="29" t="s">
        <v>412</v>
      </c>
    </row>
    <row r="352" spans="1:12" x14ac:dyDescent="0.3">
      <c r="A352" s="4">
        <v>6</v>
      </c>
      <c r="B352" s="27" t="s">
        <v>415</v>
      </c>
      <c r="C352" s="30" t="s">
        <v>33</v>
      </c>
      <c r="D352" s="10">
        <v>0</v>
      </c>
      <c r="E352" s="28">
        <v>14500</v>
      </c>
      <c r="F352" s="10"/>
      <c r="G352" s="13">
        <f>+D352+E352-F352</f>
        <v>14500</v>
      </c>
      <c r="H352" s="10"/>
      <c r="I352" s="3">
        <f>+G352-H352</f>
        <v>14500</v>
      </c>
      <c r="J352" s="4">
        <v>4389</v>
      </c>
      <c r="K352" s="29" t="s">
        <v>416</v>
      </c>
    </row>
    <row r="353" spans="1:14" x14ac:dyDescent="0.3">
      <c r="A353" s="4">
        <v>7</v>
      </c>
      <c r="B353" s="27" t="s">
        <v>417</v>
      </c>
      <c r="C353" s="27" t="s">
        <v>16</v>
      </c>
      <c r="D353" s="4">
        <v>0</v>
      </c>
      <c r="E353" s="28">
        <v>14500</v>
      </c>
      <c r="F353" s="4"/>
      <c r="G353" s="13">
        <f>+D353+E353-F353</f>
        <v>14500</v>
      </c>
      <c r="H353" s="4"/>
      <c r="I353" s="3">
        <f>+G353-H353</f>
        <v>14500</v>
      </c>
      <c r="J353" s="4">
        <v>4389</v>
      </c>
      <c r="K353" s="29" t="s">
        <v>418</v>
      </c>
    </row>
    <row r="354" spans="1:14" x14ac:dyDescent="0.3">
      <c r="A354" s="4">
        <v>8</v>
      </c>
      <c r="B354" s="27" t="s">
        <v>419</v>
      </c>
      <c r="C354" s="29" t="s">
        <v>16</v>
      </c>
      <c r="D354" s="9">
        <v>6500</v>
      </c>
      <c r="E354" s="28">
        <v>14500</v>
      </c>
      <c r="F354" s="3"/>
      <c r="G354" s="13">
        <f>+D354+E354-F354</f>
        <v>21000</v>
      </c>
      <c r="H354" s="9">
        <v>6500</v>
      </c>
      <c r="I354" s="3">
        <f>+G354-H354</f>
        <v>14500</v>
      </c>
      <c r="J354" s="4">
        <v>4389</v>
      </c>
      <c r="K354" s="29" t="s">
        <v>420</v>
      </c>
    </row>
    <row r="355" spans="1:14" x14ac:dyDescent="0.3">
      <c r="A355" s="4">
        <v>9</v>
      </c>
      <c r="B355" s="27" t="s">
        <v>421</v>
      </c>
      <c r="C355" s="30" t="s">
        <v>33</v>
      </c>
      <c r="D355" s="10">
        <v>0</v>
      </c>
      <c r="E355" s="28">
        <v>14500</v>
      </c>
      <c r="F355" s="10"/>
      <c r="G355" s="13">
        <f>+D355+E355-F355</f>
        <v>14500</v>
      </c>
      <c r="H355" s="10"/>
      <c r="I355" s="3">
        <f>+G355-H355</f>
        <v>14500</v>
      </c>
      <c r="J355" s="4">
        <v>4389</v>
      </c>
      <c r="K355" s="29" t="s">
        <v>418</v>
      </c>
    </row>
    <row r="356" spans="1:14" x14ac:dyDescent="0.3">
      <c r="A356" s="4">
        <v>10</v>
      </c>
      <c r="B356" s="27" t="s">
        <v>422</v>
      </c>
      <c r="C356" s="29" t="s">
        <v>19</v>
      </c>
      <c r="D356" s="9">
        <v>11000</v>
      </c>
      <c r="E356" s="28">
        <v>9500</v>
      </c>
      <c r="F356" s="3"/>
      <c r="G356" s="13">
        <f>+D356+E356-F356</f>
        <v>20500</v>
      </c>
      <c r="H356" s="3"/>
      <c r="I356" s="3">
        <f>+G356-H356</f>
        <v>20500</v>
      </c>
      <c r="J356" s="4">
        <v>4389</v>
      </c>
      <c r="K356" s="29" t="s">
        <v>412</v>
      </c>
    </row>
    <row r="357" spans="1:14" x14ac:dyDescent="0.3">
      <c r="A357" s="4">
        <v>11</v>
      </c>
      <c r="B357" s="27" t="s">
        <v>423</v>
      </c>
      <c r="C357" s="27" t="s">
        <v>24</v>
      </c>
      <c r="D357" s="4">
        <v>0</v>
      </c>
      <c r="E357" s="28">
        <v>11000</v>
      </c>
      <c r="F357" s="4"/>
      <c r="G357" s="13">
        <f>+D357+E357-F357</f>
        <v>11000</v>
      </c>
      <c r="H357" s="4"/>
      <c r="I357" s="3">
        <f>+G357-H357</f>
        <v>11000</v>
      </c>
      <c r="J357" s="4">
        <v>4389</v>
      </c>
      <c r="K357" s="29" t="s">
        <v>424</v>
      </c>
    </row>
    <row r="358" spans="1:14" x14ac:dyDescent="0.3">
      <c r="A358" s="4">
        <v>12</v>
      </c>
      <c r="B358" s="30" t="s">
        <v>425</v>
      </c>
      <c r="C358" s="31" t="s">
        <v>19</v>
      </c>
      <c r="D358" s="32">
        <v>1500</v>
      </c>
      <c r="E358" s="28">
        <v>14500</v>
      </c>
      <c r="F358" s="32"/>
      <c r="G358" s="13">
        <f>+D358+E358-F358</f>
        <v>16000</v>
      </c>
      <c r="H358" s="10">
        <v>1500</v>
      </c>
      <c r="I358" s="3">
        <f>+G358-H358</f>
        <v>14500</v>
      </c>
      <c r="J358" s="10">
        <v>4389</v>
      </c>
      <c r="K358" s="30" t="s">
        <v>410</v>
      </c>
    </row>
    <row r="359" spans="1:14" x14ac:dyDescent="0.3">
      <c r="A359" s="4">
        <v>13</v>
      </c>
      <c r="B359" s="27" t="s">
        <v>426</v>
      </c>
      <c r="C359" s="27" t="s">
        <v>29</v>
      </c>
      <c r="D359" s="4">
        <v>0</v>
      </c>
      <c r="E359" s="28">
        <v>14500</v>
      </c>
      <c r="F359" s="4"/>
      <c r="G359" s="13">
        <f>+D359+E359-F359</f>
        <v>14500</v>
      </c>
      <c r="H359" s="4"/>
      <c r="I359" s="3">
        <f>+G359-H359</f>
        <v>14500</v>
      </c>
      <c r="J359" s="4">
        <v>4389</v>
      </c>
      <c r="K359" s="29" t="s">
        <v>418</v>
      </c>
    </row>
    <row r="360" spans="1:14" x14ac:dyDescent="0.3">
      <c r="A360" s="4">
        <v>14</v>
      </c>
      <c r="B360" s="27" t="s">
        <v>427</v>
      </c>
      <c r="C360" s="29" t="s">
        <v>16</v>
      </c>
      <c r="D360" s="9">
        <v>3500</v>
      </c>
      <c r="E360" s="28">
        <v>14500</v>
      </c>
      <c r="F360" s="3"/>
      <c r="G360" s="13">
        <f>+D360+E360-F360</f>
        <v>18000</v>
      </c>
      <c r="H360" s="9">
        <v>3500</v>
      </c>
      <c r="I360" s="3">
        <f>+G360-H360</f>
        <v>14500</v>
      </c>
      <c r="J360" s="4">
        <v>4389</v>
      </c>
      <c r="K360" s="29" t="s">
        <v>420</v>
      </c>
    </row>
    <row r="361" spans="1:14" x14ac:dyDescent="0.3">
      <c r="A361" s="4">
        <v>15</v>
      </c>
      <c r="B361" s="30" t="s">
        <v>428</v>
      </c>
      <c r="C361" s="38" t="s">
        <v>21</v>
      </c>
      <c r="D361" s="9">
        <v>0</v>
      </c>
      <c r="E361" s="28">
        <v>14500</v>
      </c>
      <c r="F361" s="3"/>
      <c r="G361" s="13">
        <f>+D361+E361-F361</f>
        <v>14500</v>
      </c>
      <c r="H361" s="9"/>
      <c r="I361" s="3">
        <f>+G361-H361</f>
        <v>14500</v>
      </c>
      <c r="J361" s="4">
        <v>4389</v>
      </c>
      <c r="K361" s="30" t="s">
        <v>408</v>
      </c>
    </row>
    <row r="362" spans="1:14" x14ac:dyDescent="0.3">
      <c r="A362" s="4">
        <v>16</v>
      </c>
      <c r="B362" s="27" t="s">
        <v>429</v>
      </c>
      <c r="C362" s="29" t="s">
        <v>24</v>
      </c>
      <c r="D362" s="9">
        <v>0</v>
      </c>
      <c r="E362" s="28">
        <v>14500</v>
      </c>
      <c r="F362" s="3"/>
      <c r="G362" s="13">
        <f>+D362+E362-F362</f>
        <v>14500</v>
      </c>
      <c r="H362" s="9"/>
      <c r="I362" s="3">
        <f>+G362-H362</f>
        <v>14500</v>
      </c>
      <c r="J362" s="4">
        <v>4389</v>
      </c>
      <c r="K362" s="29" t="s">
        <v>408</v>
      </c>
    </row>
    <row r="363" spans="1:14" x14ac:dyDescent="0.3">
      <c r="A363" s="4">
        <v>17</v>
      </c>
      <c r="B363" s="27" t="s">
        <v>430</v>
      </c>
      <c r="C363" s="27" t="s">
        <v>21</v>
      </c>
      <c r="D363" s="4">
        <v>6750</v>
      </c>
      <c r="E363" s="28">
        <v>14500</v>
      </c>
      <c r="F363" s="4"/>
      <c r="G363" s="13">
        <f>+D363+E363-F363</f>
        <v>21250</v>
      </c>
      <c r="H363" s="4">
        <v>6750</v>
      </c>
      <c r="I363" s="3">
        <f>+G363-H363</f>
        <v>14500</v>
      </c>
      <c r="J363" s="4">
        <v>4389</v>
      </c>
      <c r="K363" s="29" t="s">
        <v>418</v>
      </c>
      <c r="N363" s="24"/>
    </row>
    <row r="364" spans="1:14" x14ac:dyDescent="0.3">
      <c r="A364" s="4">
        <v>18</v>
      </c>
      <c r="B364" s="27" t="s">
        <v>431</v>
      </c>
      <c r="C364" s="29" t="s">
        <v>31</v>
      </c>
      <c r="D364" s="9">
        <v>8500</v>
      </c>
      <c r="E364" s="28">
        <v>14500</v>
      </c>
      <c r="F364" s="3"/>
      <c r="G364" s="13">
        <f>+D364+E364-F364</f>
        <v>23000</v>
      </c>
      <c r="H364" s="9">
        <f>5500+3000</f>
        <v>8500</v>
      </c>
      <c r="I364" s="3">
        <f>+G364-H364</f>
        <v>14500</v>
      </c>
      <c r="J364" s="4">
        <v>4389</v>
      </c>
      <c r="K364" s="29" t="s">
        <v>418</v>
      </c>
    </row>
    <row r="365" spans="1:14" x14ac:dyDescent="0.3">
      <c r="A365" s="4">
        <v>19</v>
      </c>
      <c r="B365" s="27" t="s">
        <v>432</v>
      </c>
      <c r="C365" s="30" t="s">
        <v>47</v>
      </c>
      <c r="D365" s="10">
        <v>0</v>
      </c>
      <c r="E365" s="28">
        <v>14500</v>
      </c>
      <c r="F365" s="10"/>
      <c r="G365" s="13">
        <f>+D365+E365-F365</f>
        <v>14500</v>
      </c>
      <c r="H365" s="10"/>
      <c r="I365" s="3">
        <f>+G365-H365</f>
        <v>14500</v>
      </c>
      <c r="J365" s="4">
        <v>4389</v>
      </c>
      <c r="K365" s="29" t="s">
        <v>408</v>
      </c>
    </row>
    <row r="366" spans="1:14" x14ac:dyDescent="0.3">
      <c r="A366" s="4">
        <v>20</v>
      </c>
      <c r="B366" s="27" t="s">
        <v>433</v>
      </c>
      <c r="C366" s="27" t="s">
        <v>29</v>
      </c>
      <c r="D366" s="4">
        <v>0</v>
      </c>
      <c r="E366" s="28">
        <v>14500</v>
      </c>
      <c r="F366" s="4"/>
      <c r="G366" s="13">
        <f>+D366+E366-F366</f>
        <v>14500</v>
      </c>
      <c r="H366" s="4">
        <v>14500</v>
      </c>
      <c r="I366" s="3">
        <f>+G366-H366</f>
        <v>0</v>
      </c>
      <c r="J366" s="4">
        <v>4389</v>
      </c>
      <c r="K366" s="29" t="s">
        <v>416</v>
      </c>
    </row>
    <row r="367" spans="1:14" x14ac:dyDescent="0.3">
      <c r="A367" s="4">
        <v>21</v>
      </c>
      <c r="B367" s="27" t="s">
        <v>434</v>
      </c>
      <c r="C367" s="29" t="s">
        <v>47</v>
      </c>
      <c r="D367" s="9">
        <v>0</v>
      </c>
      <c r="E367" s="28">
        <v>14500</v>
      </c>
      <c r="F367" s="3"/>
      <c r="G367" s="13">
        <f>+D367+E367-F367</f>
        <v>14500</v>
      </c>
      <c r="H367" s="9"/>
      <c r="I367" s="3">
        <f>+G367-H367</f>
        <v>14500</v>
      </c>
      <c r="J367" s="4">
        <v>4389</v>
      </c>
      <c r="K367" s="29" t="s">
        <v>420</v>
      </c>
      <c r="N367" s="24"/>
    </row>
    <row r="368" spans="1:14" x14ac:dyDescent="0.3">
      <c r="A368" s="4">
        <v>22</v>
      </c>
      <c r="B368" s="27" t="s">
        <v>435</v>
      </c>
      <c r="C368" s="27" t="s">
        <v>31</v>
      </c>
      <c r="D368" s="4">
        <v>0</v>
      </c>
      <c r="E368" s="28">
        <v>14500</v>
      </c>
      <c r="F368" s="4"/>
      <c r="G368" s="13">
        <f>+D368+E368-F368</f>
        <v>14500</v>
      </c>
      <c r="H368" s="4"/>
      <c r="I368" s="3">
        <f>+G368-H368</f>
        <v>14500</v>
      </c>
      <c r="J368" s="4">
        <v>4389</v>
      </c>
      <c r="K368" s="29" t="s">
        <v>408</v>
      </c>
    </row>
    <row r="369" spans="1:15" x14ac:dyDescent="0.3">
      <c r="A369" s="4">
        <v>23</v>
      </c>
      <c r="B369" s="27" t="s">
        <v>436</v>
      </c>
      <c r="C369" s="27" t="s">
        <v>26</v>
      </c>
      <c r="D369" s="10">
        <v>6500</v>
      </c>
      <c r="E369" s="28">
        <v>14500</v>
      </c>
      <c r="F369" s="10"/>
      <c r="G369" s="13">
        <f>+D369+E369-F369</f>
        <v>21000</v>
      </c>
      <c r="H369" s="10">
        <v>6500</v>
      </c>
      <c r="I369" s="3">
        <f>+G369-H369</f>
        <v>14500</v>
      </c>
      <c r="J369" s="4">
        <v>4389</v>
      </c>
      <c r="K369" s="29" t="s">
        <v>416</v>
      </c>
    </row>
    <row r="370" spans="1:15" x14ac:dyDescent="0.3">
      <c r="A370" s="4">
        <v>24</v>
      </c>
      <c r="B370" s="27" t="s">
        <v>437</v>
      </c>
      <c r="C370" s="30" t="s">
        <v>33</v>
      </c>
      <c r="D370" s="10">
        <v>3000</v>
      </c>
      <c r="E370" s="28">
        <v>9500</v>
      </c>
      <c r="F370" s="10"/>
      <c r="G370" s="13">
        <f>+D370+E370-F370</f>
        <v>12500</v>
      </c>
      <c r="H370" s="10"/>
      <c r="I370" s="3">
        <f>+G370-H370</f>
        <v>12500</v>
      </c>
      <c r="J370" s="4">
        <v>4389</v>
      </c>
      <c r="K370" s="33" t="s">
        <v>438</v>
      </c>
    </row>
    <row r="371" spans="1:15" x14ac:dyDescent="0.3">
      <c r="A371" s="4">
        <v>25</v>
      </c>
      <c r="B371" s="27" t="s">
        <v>439</v>
      </c>
      <c r="C371" s="29" t="s">
        <v>29</v>
      </c>
      <c r="D371" s="9">
        <v>17000</v>
      </c>
      <c r="E371" s="28">
        <v>14500</v>
      </c>
      <c r="F371" s="3"/>
      <c r="G371" s="13">
        <f>+D371+E371-F371</f>
        <v>31500</v>
      </c>
      <c r="H371" s="9"/>
      <c r="I371" s="3">
        <f>+G371-H371</f>
        <v>31500</v>
      </c>
      <c r="J371" s="4">
        <v>4389</v>
      </c>
      <c r="K371" s="29" t="s">
        <v>418</v>
      </c>
    </row>
    <row r="372" spans="1:15" x14ac:dyDescent="0.3">
      <c r="A372" s="4">
        <v>26</v>
      </c>
      <c r="B372" s="30" t="s">
        <v>440</v>
      </c>
      <c r="C372" s="27" t="s">
        <v>24</v>
      </c>
      <c r="D372" s="4">
        <v>3500</v>
      </c>
      <c r="E372" s="28">
        <v>14500</v>
      </c>
      <c r="F372" s="4"/>
      <c r="G372" s="13">
        <f>+D372+E372-F372</f>
        <v>18000</v>
      </c>
      <c r="H372" s="4">
        <v>3500</v>
      </c>
      <c r="I372" s="3">
        <f>+G372-H372</f>
        <v>14500</v>
      </c>
      <c r="J372" s="4">
        <v>4389</v>
      </c>
      <c r="K372" s="38" t="s">
        <v>416</v>
      </c>
    </row>
    <row r="373" spans="1:15" x14ac:dyDescent="0.3">
      <c r="A373" s="4">
        <v>27</v>
      </c>
      <c r="B373" s="39" t="s">
        <v>441</v>
      </c>
      <c r="C373" s="27" t="s">
        <v>21</v>
      </c>
      <c r="D373" s="4">
        <v>4500</v>
      </c>
      <c r="E373" s="28">
        <v>9500</v>
      </c>
      <c r="F373" s="4"/>
      <c r="G373" s="13">
        <f>+D373+E373-F373</f>
        <v>14000</v>
      </c>
      <c r="H373" s="4">
        <v>4500</v>
      </c>
      <c r="I373" s="3">
        <f>+G373-H373</f>
        <v>9500</v>
      </c>
      <c r="J373" s="4">
        <v>4389</v>
      </c>
      <c r="K373" s="39" t="s">
        <v>412</v>
      </c>
    </row>
    <row r="374" spans="1:15" x14ac:dyDescent="0.3">
      <c r="A374" s="4">
        <v>28</v>
      </c>
      <c r="B374" s="27" t="s">
        <v>442</v>
      </c>
      <c r="C374" s="27" t="s">
        <v>31</v>
      </c>
      <c r="D374" s="4">
        <v>11500</v>
      </c>
      <c r="E374" s="28">
        <v>14500</v>
      </c>
      <c r="F374" s="4"/>
      <c r="G374" s="13">
        <f>+D374+E374-F374</f>
        <v>26000</v>
      </c>
      <c r="H374" s="4">
        <v>11500</v>
      </c>
      <c r="I374" s="3">
        <f>+G374-H374</f>
        <v>14500</v>
      </c>
      <c r="J374" s="4">
        <v>4389</v>
      </c>
      <c r="K374" s="29" t="s">
        <v>408</v>
      </c>
    </row>
    <row r="375" spans="1:15" x14ac:dyDescent="0.3">
      <c r="A375" s="4">
        <v>29</v>
      </c>
      <c r="B375" s="27" t="s">
        <v>443</v>
      </c>
      <c r="C375" s="29" t="s">
        <v>21</v>
      </c>
      <c r="D375" s="9">
        <v>0</v>
      </c>
      <c r="E375" s="28">
        <v>9500</v>
      </c>
      <c r="F375" s="3"/>
      <c r="G375" s="13">
        <f>+D375+E375-F375</f>
        <v>9500</v>
      </c>
      <c r="H375" s="9"/>
      <c r="I375" s="3">
        <f>+G375-H375</f>
        <v>9500</v>
      </c>
      <c r="J375" s="4">
        <v>4389</v>
      </c>
      <c r="K375" s="29" t="s">
        <v>412</v>
      </c>
    </row>
    <row r="376" spans="1:15" x14ac:dyDescent="0.3">
      <c r="A376" s="4">
        <v>30</v>
      </c>
      <c r="B376" s="30" t="s">
        <v>444</v>
      </c>
      <c r="C376" s="29" t="s">
        <v>29</v>
      </c>
      <c r="D376" s="9">
        <v>3500</v>
      </c>
      <c r="E376" s="28">
        <v>14500</v>
      </c>
      <c r="F376" s="3"/>
      <c r="G376" s="13">
        <f>+D376+E376-F376</f>
        <v>18000</v>
      </c>
      <c r="H376" s="9"/>
      <c r="I376" s="3">
        <f>+G376-H376</f>
        <v>18000</v>
      </c>
      <c r="J376" s="4">
        <v>4389</v>
      </c>
      <c r="K376" s="30" t="s">
        <v>408</v>
      </c>
    </row>
    <row r="377" spans="1:15" x14ac:dyDescent="0.3">
      <c r="A377" s="4">
        <v>31</v>
      </c>
      <c r="B377" s="27" t="s">
        <v>445</v>
      </c>
      <c r="C377" s="27" t="s">
        <v>31</v>
      </c>
      <c r="D377" s="4">
        <v>0</v>
      </c>
      <c r="E377" s="28">
        <v>14500</v>
      </c>
      <c r="F377" s="4"/>
      <c r="G377" s="13">
        <f>+D377+E377-F377</f>
        <v>14500</v>
      </c>
      <c r="H377" s="4"/>
      <c r="I377" s="3">
        <f>+G377-H377</f>
        <v>14500</v>
      </c>
      <c r="J377" s="4">
        <v>4389</v>
      </c>
      <c r="K377" s="29" t="s">
        <v>408</v>
      </c>
    </row>
    <row r="378" spans="1:15" x14ac:dyDescent="0.3">
      <c r="A378" s="4">
        <v>32</v>
      </c>
      <c r="B378" s="30" t="s">
        <v>446</v>
      </c>
      <c r="C378" s="30" t="s">
        <v>29</v>
      </c>
      <c r="D378" s="10">
        <v>6750</v>
      </c>
      <c r="E378" s="28">
        <v>14500</v>
      </c>
      <c r="F378" s="10"/>
      <c r="G378" s="13">
        <f>+D378+E378-F378</f>
        <v>21250</v>
      </c>
      <c r="H378" s="10">
        <v>6750</v>
      </c>
      <c r="I378" s="3">
        <f>+G378-H378</f>
        <v>14500</v>
      </c>
      <c r="J378" s="10">
        <v>4389</v>
      </c>
      <c r="K378" s="30" t="s">
        <v>410</v>
      </c>
    </row>
    <row r="379" spans="1:15" x14ac:dyDescent="0.3">
      <c r="A379" s="4">
        <v>33</v>
      </c>
      <c r="B379" s="27" t="s">
        <v>447</v>
      </c>
      <c r="C379" s="29" t="s">
        <v>26</v>
      </c>
      <c r="D379" s="9">
        <v>7000</v>
      </c>
      <c r="E379" s="28">
        <v>14500</v>
      </c>
      <c r="F379" s="3"/>
      <c r="G379" s="13">
        <f>+D379+E379-F379</f>
        <v>21500</v>
      </c>
      <c r="H379" s="9"/>
      <c r="I379" s="3">
        <f>+G379-H379</f>
        <v>21500</v>
      </c>
      <c r="J379" s="4">
        <v>4389</v>
      </c>
      <c r="K379" s="29" t="s">
        <v>420</v>
      </c>
    </row>
    <row r="380" spans="1:15" x14ac:dyDescent="0.3">
      <c r="A380" s="4">
        <v>34</v>
      </c>
      <c r="B380" s="27" t="s">
        <v>448</v>
      </c>
      <c r="C380" s="29" t="s">
        <v>24</v>
      </c>
      <c r="D380" s="9">
        <v>0</v>
      </c>
      <c r="E380" s="28">
        <v>9500</v>
      </c>
      <c r="F380" s="3"/>
      <c r="G380" s="13">
        <f>+D380+E380-F380</f>
        <v>9500</v>
      </c>
      <c r="H380" s="9"/>
      <c r="I380" s="3">
        <f>+G380-H380</f>
        <v>9500</v>
      </c>
      <c r="J380" s="4">
        <v>4389</v>
      </c>
      <c r="K380" s="33" t="s">
        <v>438</v>
      </c>
    </row>
    <row r="381" spans="1:15" x14ac:dyDescent="0.3">
      <c r="A381" s="4">
        <v>35</v>
      </c>
      <c r="B381" s="30" t="s">
        <v>449</v>
      </c>
      <c r="C381" s="38" t="s">
        <v>26</v>
      </c>
      <c r="D381" s="9">
        <v>0</v>
      </c>
      <c r="E381" s="28">
        <v>14500</v>
      </c>
      <c r="F381" s="3"/>
      <c r="G381" s="13">
        <f>+D381+E381-F381</f>
        <v>14500</v>
      </c>
      <c r="H381" s="9"/>
      <c r="I381" s="3">
        <f>+G381-H381</f>
        <v>14500</v>
      </c>
      <c r="J381" s="4">
        <v>4389</v>
      </c>
      <c r="K381" s="30" t="s">
        <v>408</v>
      </c>
    </row>
    <row r="382" spans="1:15" x14ac:dyDescent="0.3">
      <c r="A382" s="4">
        <v>36</v>
      </c>
      <c r="B382" s="30" t="s">
        <v>450</v>
      </c>
      <c r="C382" s="27" t="s">
        <v>26</v>
      </c>
      <c r="D382" s="4">
        <v>1000</v>
      </c>
      <c r="E382" s="28">
        <v>14500</v>
      </c>
      <c r="F382" s="4"/>
      <c r="G382" s="13">
        <f>+D382+E382-F382</f>
        <v>15500</v>
      </c>
      <c r="H382" s="4"/>
      <c r="I382" s="3">
        <f>+G382-H382</f>
        <v>15500</v>
      </c>
      <c r="J382" s="4">
        <v>4389</v>
      </c>
      <c r="K382" s="30" t="s">
        <v>408</v>
      </c>
    </row>
    <row r="383" spans="1:15" x14ac:dyDescent="0.3">
      <c r="A383" s="4">
        <v>37</v>
      </c>
      <c r="B383" s="30" t="s">
        <v>451</v>
      </c>
      <c r="C383" s="38" t="s">
        <v>26</v>
      </c>
      <c r="D383" s="9">
        <v>7000</v>
      </c>
      <c r="E383" s="28">
        <v>9500</v>
      </c>
      <c r="F383" s="3"/>
      <c r="G383" s="13">
        <f>+D383+E383-F383</f>
        <v>16500</v>
      </c>
      <c r="H383" s="3"/>
      <c r="I383" s="3">
        <f>+G383-H383</f>
        <v>16500</v>
      </c>
      <c r="J383" s="4">
        <v>4389</v>
      </c>
      <c r="K383" s="30" t="s">
        <v>438</v>
      </c>
      <c r="N383" s="25"/>
      <c r="O383" s="25"/>
    </row>
    <row r="384" spans="1:15" x14ac:dyDescent="0.3">
      <c r="A384" s="4">
        <v>38</v>
      </c>
      <c r="B384" s="30" t="s">
        <v>452</v>
      </c>
      <c r="C384" s="31" t="s">
        <v>31</v>
      </c>
      <c r="D384" s="32">
        <v>0</v>
      </c>
      <c r="E384" s="28">
        <v>14500</v>
      </c>
      <c r="F384" s="32"/>
      <c r="G384" s="13">
        <f>+D384+E384-F384</f>
        <v>14500</v>
      </c>
      <c r="H384" s="4"/>
      <c r="I384" s="3">
        <f>+G384-H384</f>
        <v>14500</v>
      </c>
      <c r="J384" s="10">
        <v>4389</v>
      </c>
      <c r="K384" s="30" t="s">
        <v>416</v>
      </c>
    </row>
    <row r="385" spans="1:15" x14ac:dyDescent="0.3">
      <c r="A385" s="35"/>
      <c r="B385" s="35"/>
      <c r="C385" s="35"/>
      <c r="D385" s="37">
        <f t="shared" ref="D385:I385" si="7">SUM(D347:D384)</f>
        <v>121500</v>
      </c>
      <c r="E385" s="37">
        <f t="shared" si="7"/>
        <v>507500</v>
      </c>
      <c r="F385" s="37">
        <f t="shared" si="7"/>
        <v>0</v>
      </c>
      <c r="G385" s="37">
        <f t="shared" si="7"/>
        <v>629000</v>
      </c>
      <c r="H385" s="37">
        <f t="shared" si="7"/>
        <v>77500</v>
      </c>
      <c r="I385" s="37">
        <f t="shared" si="7"/>
        <v>551500</v>
      </c>
      <c r="J385" s="35"/>
      <c r="K385" s="35"/>
    </row>
    <row r="386" spans="1:15" x14ac:dyDescent="0.3">
      <c r="A386" s="1" t="s">
        <v>0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5" ht="20.25" customHeight="1" x14ac:dyDescent="0.3">
      <c r="A387" s="2" t="s">
        <v>1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5" ht="17.25" customHeight="1" x14ac:dyDescent="0.3">
      <c r="A388" s="1" t="s">
        <v>2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5" ht="40.5" customHeight="1" x14ac:dyDescent="0.3">
      <c r="A389" s="3" t="s">
        <v>3</v>
      </c>
      <c r="B389" s="3" t="s">
        <v>4</v>
      </c>
      <c r="C389" s="3" t="s">
        <v>5</v>
      </c>
      <c r="D389" s="3" t="s">
        <v>6</v>
      </c>
      <c r="E389" s="3" t="s">
        <v>7</v>
      </c>
      <c r="F389" s="3" t="s">
        <v>8</v>
      </c>
      <c r="G389" s="3" t="s">
        <v>9</v>
      </c>
      <c r="H389" s="3" t="s">
        <v>10</v>
      </c>
      <c r="I389" s="3" t="s">
        <v>11</v>
      </c>
      <c r="J389" s="3" t="s">
        <v>12</v>
      </c>
      <c r="K389" s="3" t="s">
        <v>13</v>
      </c>
      <c r="L389" s="26" t="s">
        <v>14</v>
      </c>
    </row>
    <row r="390" spans="1:15" x14ac:dyDescent="0.3">
      <c r="A390" s="9">
        <v>1</v>
      </c>
      <c r="B390" s="33" t="s">
        <v>453</v>
      </c>
      <c r="C390" s="27" t="s">
        <v>29</v>
      </c>
      <c r="D390" s="4">
        <v>0</v>
      </c>
      <c r="E390" s="28">
        <v>21000</v>
      </c>
      <c r="F390" s="4"/>
      <c r="G390" s="13">
        <f>+D390+E390-F390</f>
        <v>21000</v>
      </c>
      <c r="H390" s="4"/>
      <c r="I390" s="3">
        <f>+G390-H390</f>
        <v>21000</v>
      </c>
      <c r="J390" s="10">
        <v>4390</v>
      </c>
      <c r="K390" s="29" t="s">
        <v>454</v>
      </c>
    </row>
    <row r="391" spans="1:15" x14ac:dyDescent="0.3">
      <c r="A391" s="9">
        <v>2</v>
      </c>
      <c r="B391" s="27" t="s">
        <v>455</v>
      </c>
      <c r="C391" s="27" t="s">
        <v>75</v>
      </c>
      <c r="D391" s="4">
        <v>0</v>
      </c>
      <c r="E391" s="28">
        <v>15000</v>
      </c>
      <c r="F391" s="4"/>
      <c r="G391" s="13">
        <f>+D391+E391-F391</f>
        <v>15000</v>
      </c>
      <c r="H391" s="4"/>
      <c r="I391" s="3">
        <f>+G391-H391</f>
        <v>15000</v>
      </c>
      <c r="J391" s="10">
        <v>4390</v>
      </c>
      <c r="K391" s="29" t="s">
        <v>456</v>
      </c>
    </row>
    <row r="392" spans="1:15" x14ac:dyDescent="0.3">
      <c r="A392" s="9">
        <v>3</v>
      </c>
      <c r="B392" s="27" t="s">
        <v>457</v>
      </c>
      <c r="C392" s="29" t="s">
        <v>31</v>
      </c>
      <c r="D392" s="9">
        <v>0</v>
      </c>
      <c r="E392" s="28">
        <v>21000</v>
      </c>
      <c r="F392" s="3"/>
      <c r="G392" s="13">
        <f>+D392+E392-F392</f>
        <v>21000</v>
      </c>
      <c r="H392" s="9"/>
      <c r="I392" s="3">
        <f>+G392-H392</f>
        <v>21000</v>
      </c>
      <c r="J392" s="10">
        <v>4390</v>
      </c>
      <c r="K392" s="33" t="s">
        <v>458</v>
      </c>
    </row>
    <row r="393" spans="1:15" x14ac:dyDescent="0.3">
      <c r="A393" s="9">
        <v>4</v>
      </c>
      <c r="B393" s="27" t="s">
        <v>459</v>
      </c>
      <c r="C393" s="27" t="s">
        <v>16</v>
      </c>
      <c r="D393" s="4">
        <v>6500</v>
      </c>
      <c r="E393" s="28">
        <v>14500</v>
      </c>
      <c r="F393" s="4"/>
      <c r="G393" s="13">
        <f>+D393+E393-F393</f>
        <v>21000</v>
      </c>
      <c r="H393" s="4">
        <v>6500</v>
      </c>
      <c r="I393" s="3">
        <f>+G393-H393</f>
        <v>14500</v>
      </c>
      <c r="J393" s="10">
        <v>4390</v>
      </c>
      <c r="K393" s="29" t="s">
        <v>460</v>
      </c>
    </row>
    <row r="394" spans="1:15" x14ac:dyDescent="0.3">
      <c r="A394" s="9">
        <v>5</v>
      </c>
      <c r="B394" s="27" t="s">
        <v>461</v>
      </c>
      <c r="C394" s="27" t="s">
        <v>193</v>
      </c>
      <c r="D394" s="4">
        <v>0</v>
      </c>
      <c r="E394" s="28">
        <v>21000</v>
      </c>
      <c r="F394" s="4"/>
      <c r="G394" s="13">
        <f>+D394+E394-F394</f>
        <v>21000</v>
      </c>
      <c r="H394" s="4"/>
      <c r="I394" s="3">
        <f>+G394-H394</f>
        <v>21000</v>
      </c>
      <c r="J394" s="10">
        <v>4390</v>
      </c>
      <c r="K394" s="33" t="s">
        <v>462</v>
      </c>
    </row>
    <row r="395" spans="1:15" x14ac:dyDescent="0.3">
      <c r="A395" s="9">
        <v>6</v>
      </c>
      <c r="B395" s="27" t="s">
        <v>463</v>
      </c>
      <c r="C395" s="29" t="s">
        <v>31</v>
      </c>
      <c r="D395" s="9">
        <v>10000</v>
      </c>
      <c r="E395" s="28">
        <v>21000</v>
      </c>
      <c r="F395" s="3"/>
      <c r="G395" s="13">
        <f>+D395+E395-F395</f>
        <v>31000</v>
      </c>
      <c r="H395" s="9">
        <v>10000</v>
      </c>
      <c r="I395" s="3">
        <f>+G395-H395</f>
        <v>21000</v>
      </c>
      <c r="J395" s="10">
        <v>4390</v>
      </c>
      <c r="K395" s="33" t="s">
        <v>464</v>
      </c>
      <c r="N395" s="24"/>
      <c r="O395" s="24"/>
    </row>
    <row r="396" spans="1:15" x14ac:dyDescent="0.3">
      <c r="A396" s="9">
        <v>7</v>
      </c>
      <c r="B396" s="27" t="s">
        <v>465</v>
      </c>
      <c r="C396" s="27" t="s">
        <v>29</v>
      </c>
      <c r="D396" s="4">
        <v>0</v>
      </c>
      <c r="E396" s="28">
        <v>14500</v>
      </c>
      <c r="F396" s="4"/>
      <c r="G396" s="13">
        <f>+D396+E396-F396</f>
        <v>14500</v>
      </c>
      <c r="H396" s="4"/>
      <c r="I396" s="3">
        <f>+G396-H396</f>
        <v>14500</v>
      </c>
      <c r="J396" s="10">
        <v>4390</v>
      </c>
      <c r="K396" s="29" t="s">
        <v>460</v>
      </c>
    </row>
    <row r="397" spans="1:15" x14ac:dyDescent="0.3">
      <c r="A397" s="9">
        <v>8</v>
      </c>
      <c r="B397" s="27" t="s">
        <v>466</v>
      </c>
      <c r="C397" s="29" t="s">
        <v>26</v>
      </c>
      <c r="D397" s="9">
        <v>51000</v>
      </c>
      <c r="E397" s="28">
        <v>14500</v>
      </c>
      <c r="F397" s="3"/>
      <c r="G397" s="13">
        <f>+D397+E397-F397</f>
        <v>65500</v>
      </c>
      <c r="H397" s="3"/>
      <c r="I397" s="3">
        <f>+G397-H397</f>
        <v>65500</v>
      </c>
      <c r="J397" s="10">
        <v>4390</v>
      </c>
      <c r="K397" s="29" t="s">
        <v>110</v>
      </c>
    </row>
    <row r="398" spans="1:15" x14ac:dyDescent="0.3">
      <c r="A398" s="9">
        <v>9</v>
      </c>
      <c r="B398" s="27" t="s">
        <v>467</v>
      </c>
      <c r="C398" s="27" t="s">
        <v>21</v>
      </c>
      <c r="D398" s="4">
        <v>0</v>
      </c>
      <c r="E398" s="28">
        <v>14500</v>
      </c>
      <c r="F398" s="4"/>
      <c r="G398" s="13">
        <f>+D398+E398-F398</f>
        <v>14500</v>
      </c>
      <c r="H398" s="4"/>
      <c r="I398" s="3">
        <f>+G398-H398</f>
        <v>14500</v>
      </c>
      <c r="J398" s="10">
        <v>4390</v>
      </c>
      <c r="K398" s="29" t="s">
        <v>460</v>
      </c>
    </row>
    <row r="399" spans="1:15" x14ac:dyDescent="0.3">
      <c r="A399" s="9">
        <v>10</v>
      </c>
      <c r="B399" s="27" t="s">
        <v>468</v>
      </c>
      <c r="C399" s="29" t="s">
        <v>33</v>
      </c>
      <c r="D399" s="9">
        <v>10000</v>
      </c>
      <c r="E399" s="28">
        <v>21000</v>
      </c>
      <c r="F399" s="3"/>
      <c r="G399" s="13">
        <f>+D399+E399-F399</f>
        <v>31000</v>
      </c>
      <c r="H399" s="9">
        <v>10000</v>
      </c>
      <c r="I399" s="3">
        <f>+G399-H399</f>
        <v>21000</v>
      </c>
      <c r="J399" s="10">
        <v>4390</v>
      </c>
      <c r="K399" s="27" t="s">
        <v>464</v>
      </c>
    </row>
    <row r="400" spans="1:15" x14ac:dyDescent="0.3">
      <c r="A400" s="9">
        <v>11</v>
      </c>
      <c r="B400" s="27" t="s">
        <v>469</v>
      </c>
      <c r="C400" s="27" t="s">
        <v>29</v>
      </c>
      <c r="D400" s="4">
        <v>0</v>
      </c>
      <c r="E400" s="28">
        <v>14500</v>
      </c>
      <c r="F400" s="4"/>
      <c r="G400" s="13">
        <f>+D400+E400-F400</f>
        <v>14500</v>
      </c>
      <c r="H400" s="4"/>
      <c r="I400" s="3">
        <f>+G400-H400</f>
        <v>14500</v>
      </c>
      <c r="J400" s="10">
        <v>4390</v>
      </c>
      <c r="K400" s="30" t="s">
        <v>363</v>
      </c>
    </row>
    <row r="401" spans="1:11" x14ac:dyDescent="0.3">
      <c r="A401" s="9">
        <v>12</v>
      </c>
      <c r="B401" s="27" t="s">
        <v>470</v>
      </c>
      <c r="C401" s="27" t="s">
        <v>26</v>
      </c>
      <c r="D401" s="4">
        <v>0</v>
      </c>
      <c r="E401" s="28">
        <v>15000</v>
      </c>
      <c r="F401" s="4"/>
      <c r="G401" s="13">
        <f>+D401+E401-F401</f>
        <v>15000</v>
      </c>
      <c r="H401" s="4"/>
      <c r="I401" s="3">
        <f>+G401-H401</f>
        <v>15000</v>
      </c>
      <c r="J401" s="10">
        <v>4390</v>
      </c>
      <c r="K401" s="29" t="s">
        <v>456</v>
      </c>
    </row>
    <row r="402" spans="1:11" x14ac:dyDescent="0.3">
      <c r="A402" s="9">
        <v>13</v>
      </c>
      <c r="B402" s="27" t="s">
        <v>471</v>
      </c>
      <c r="C402" s="29" t="s">
        <v>24</v>
      </c>
      <c r="D402" s="4">
        <v>0</v>
      </c>
      <c r="E402" s="28">
        <v>21000</v>
      </c>
      <c r="F402" s="4"/>
      <c r="G402" s="13">
        <f>+D402+E402-F402</f>
        <v>21000</v>
      </c>
      <c r="H402" s="4"/>
      <c r="I402" s="3">
        <f>+G402-H402</f>
        <v>21000</v>
      </c>
      <c r="J402" s="10">
        <v>4390</v>
      </c>
      <c r="K402" s="33" t="s">
        <v>458</v>
      </c>
    </row>
    <row r="403" spans="1:11" x14ac:dyDescent="0.3">
      <c r="A403" s="9">
        <v>14</v>
      </c>
      <c r="B403" s="27" t="s">
        <v>472</v>
      </c>
      <c r="C403" s="27" t="s">
        <v>193</v>
      </c>
      <c r="D403" s="4">
        <v>0</v>
      </c>
      <c r="E403" s="28">
        <v>21000</v>
      </c>
      <c r="F403" s="4"/>
      <c r="G403" s="13">
        <f>+D403+E403-F403</f>
        <v>21000</v>
      </c>
      <c r="H403" s="4"/>
      <c r="I403" s="3">
        <f>+G403-H403</f>
        <v>21000</v>
      </c>
      <c r="J403" s="10">
        <v>4390</v>
      </c>
      <c r="K403" s="33" t="s">
        <v>473</v>
      </c>
    </row>
    <row r="404" spans="1:11" x14ac:dyDescent="0.3">
      <c r="A404" s="9">
        <v>15</v>
      </c>
      <c r="B404" s="27" t="s">
        <v>474</v>
      </c>
      <c r="C404" s="27" t="s">
        <v>26</v>
      </c>
      <c r="D404" s="4">
        <v>50</v>
      </c>
      <c r="E404" s="28">
        <v>21000</v>
      </c>
      <c r="F404" s="4"/>
      <c r="G404" s="13">
        <f>+D404+E404-F404</f>
        <v>21050</v>
      </c>
      <c r="H404" s="4">
        <v>50</v>
      </c>
      <c r="I404" s="3">
        <f>+G404-H404</f>
        <v>21000</v>
      </c>
      <c r="J404" s="10">
        <v>4390</v>
      </c>
      <c r="K404" s="29" t="s">
        <v>475</v>
      </c>
    </row>
    <row r="405" spans="1:11" x14ac:dyDescent="0.3">
      <c r="A405" s="9">
        <v>16</v>
      </c>
      <c r="B405" s="27" t="s">
        <v>476</v>
      </c>
      <c r="C405" s="27" t="s">
        <v>193</v>
      </c>
      <c r="D405" s="4">
        <v>0</v>
      </c>
      <c r="E405" s="28">
        <v>14500</v>
      </c>
      <c r="F405" s="4"/>
      <c r="G405" s="13">
        <f>+D405+E405-F405</f>
        <v>14500</v>
      </c>
      <c r="H405" s="4"/>
      <c r="I405" s="3">
        <f>+G405-H405</f>
        <v>14500</v>
      </c>
      <c r="J405" s="10">
        <v>4390</v>
      </c>
      <c r="K405" s="33" t="s">
        <v>110</v>
      </c>
    </row>
    <row r="406" spans="1:11" x14ac:dyDescent="0.3">
      <c r="A406" s="9">
        <v>17</v>
      </c>
      <c r="B406" s="27" t="s">
        <v>477</v>
      </c>
      <c r="C406" s="27" t="s">
        <v>31</v>
      </c>
      <c r="D406" s="4">
        <v>0</v>
      </c>
      <c r="E406" s="28">
        <v>14500</v>
      </c>
      <c r="F406" s="4"/>
      <c r="G406" s="13">
        <f>+D406+E406-F406</f>
        <v>14500</v>
      </c>
      <c r="H406" s="4"/>
      <c r="I406" s="3">
        <f>+G406-H406</f>
        <v>14500</v>
      </c>
      <c r="J406" s="10">
        <v>4390</v>
      </c>
      <c r="K406" s="27" t="s">
        <v>110</v>
      </c>
    </row>
    <row r="407" spans="1:11" x14ac:dyDescent="0.3">
      <c r="A407" s="9">
        <v>18</v>
      </c>
      <c r="B407" s="27" t="s">
        <v>478</v>
      </c>
      <c r="C407" s="27" t="s">
        <v>29</v>
      </c>
      <c r="D407" s="4">
        <v>0</v>
      </c>
      <c r="E407" s="28">
        <v>14500</v>
      </c>
      <c r="F407" s="4"/>
      <c r="G407" s="13">
        <f>+D407+E407-F407</f>
        <v>14500</v>
      </c>
      <c r="H407" s="4"/>
      <c r="I407" s="3">
        <f>+G407-H407</f>
        <v>14500</v>
      </c>
      <c r="J407" s="10">
        <v>4390</v>
      </c>
      <c r="K407" s="30" t="s">
        <v>363</v>
      </c>
    </row>
    <row r="408" spans="1:11" x14ac:dyDescent="0.3">
      <c r="A408" s="9">
        <v>19</v>
      </c>
      <c r="B408" s="27" t="s">
        <v>479</v>
      </c>
      <c r="C408" s="29" t="s">
        <v>31</v>
      </c>
      <c r="D408" s="9">
        <v>20000</v>
      </c>
      <c r="E408" s="28">
        <v>21000</v>
      </c>
      <c r="F408" s="3"/>
      <c r="G408" s="13">
        <f>+D408+E408-F408</f>
        <v>41000</v>
      </c>
      <c r="H408" s="9">
        <v>20000</v>
      </c>
      <c r="I408" s="3">
        <f>+G408-H408</f>
        <v>21000</v>
      </c>
      <c r="J408" s="10">
        <v>4390</v>
      </c>
      <c r="K408" s="33" t="s">
        <v>458</v>
      </c>
    </row>
    <row r="409" spans="1:11" x14ac:dyDescent="0.3">
      <c r="A409" s="9">
        <v>20</v>
      </c>
      <c r="B409" s="27" t="s">
        <v>480</v>
      </c>
      <c r="C409" s="29" t="s">
        <v>24</v>
      </c>
      <c r="D409" s="9">
        <v>3000</v>
      </c>
      <c r="E409" s="28">
        <v>14500</v>
      </c>
      <c r="F409" s="3"/>
      <c r="G409" s="13">
        <f>+D409+E409-F409</f>
        <v>17500</v>
      </c>
      <c r="H409" s="9">
        <v>3000</v>
      </c>
      <c r="I409" s="3">
        <f>+G409-H409</f>
        <v>14500</v>
      </c>
      <c r="J409" s="10">
        <v>4390</v>
      </c>
      <c r="K409" s="29" t="s">
        <v>110</v>
      </c>
    </row>
    <row r="410" spans="1:11" x14ac:dyDescent="0.3">
      <c r="A410" s="9">
        <v>21</v>
      </c>
      <c r="B410" s="27" t="s">
        <v>481</v>
      </c>
      <c r="C410" s="29" t="s">
        <v>29</v>
      </c>
      <c r="D410" s="9">
        <v>59000</v>
      </c>
      <c r="E410" s="28">
        <v>21000</v>
      </c>
      <c r="F410" s="3"/>
      <c r="G410" s="13">
        <f>+D410+E410-F410</f>
        <v>80000</v>
      </c>
      <c r="H410" s="3"/>
      <c r="I410" s="3">
        <f>+G410-H410</f>
        <v>80000</v>
      </c>
      <c r="J410" s="10">
        <v>4390</v>
      </c>
      <c r="K410" s="27" t="s">
        <v>482</v>
      </c>
    </row>
    <row r="411" spans="1:11" x14ac:dyDescent="0.3">
      <c r="A411" s="9">
        <v>22</v>
      </c>
      <c r="B411" s="27" t="s">
        <v>483</v>
      </c>
      <c r="C411" s="30" t="s">
        <v>33</v>
      </c>
      <c r="D411" s="10">
        <v>0</v>
      </c>
      <c r="E411" s="28">
        <v>14500</v>
      </c>
      <c r="F411" s="10"/>
      <c r="G411" s="13">
        <f>+D411+E411-F411</f>
        <v>14500</v>
      </c>
      <c r="H411" s="10"/>
      <c r="I411" s="3">
        <f>+G411-H411</f>
        <v>14500</v>
      </c>
      <c r="J411" s="10">
        <v>4390</v>
      </c>
      <c r="K411" s="29" t="s">
        <v>110</v>
      </c>
    </row>
    <row r="412" spans="1:11" x14ac:dyDescent="0.3">
      <c r="A412" s="9">
        <v>23</v>
      </c>
      <c r="B412" s="30" t="s">
        <v>484</v>
      </c>
      <c r="C412" s="38" t="s">
        <v>33</v>
      </c>
      <c r="D412" s="9">
        <v>8500</v>
      </c>
      <c r="E412" s="28">
        <v>14500</v>
      </c>
      <c r="F412" s="3"/>
      <c r="G412" s="13">
        <f>+D412+E412-F412</f>
        <v>23000</v>
      </c>
      <c r="H412" s="9">
        <v>8500</v>
      </c>
      <c r="I412" s="3">
        <f>+G412-H412</f>
        <v>14500</v>
      </c>
      <c r="J412" s="10">
        <v>4390</v>
      </c>
      <c r="K412" s="30" t="s">
        <v>110</v>
      </c>
    </row>
    <row r="413" spans="1:11" x14ac:dyDescent="0.3">
      <c r="A413" s="9">
        <v>24</v>
      </c>
      <c r="B413" s="27" t="s">
        <v>485</v>
      </c>
      <c r="C413" s="27" t="s">
        <v>21</v>
      </c>
      <c r="D413" s="4">
        <v>5500</v>
      </c>
      <c r="E413" s="28">
        <v>14500</v>
      </c>
      <c r="F413" s="4"/>
      <c r="G413" s="13">
        <f>+D413+E413-F413</f>
        <v>20000</v>
      </c>
      <c r="H413" s="4">
        <v>5500</v>
      </c>
      <c r="I413" s="3">
        <f>+G413-H413</f>
        <v>14500</v>
      </c>
      <c r="J413" s="10">
        <v>4390</v>
      </c>
      <c r="K413" s="30" t="s">
        <v>363</v>
      </c>
    </row>
    <row r="414" spans="1:11" x14ac:dyDescent="0.3">
      <c r="A414" s="9">
        <v>25</v>
      </c>
      <c r="B414" s="30" t="s">
        <v>486</v>
      </c>
      <c r="C414" s="30" t="s">
        <v>16</v>
      </c>
      <c r="D414" s="10">
        <v>0</v>
      </c>
      <c r="E414" s="28">
        <v>21000</v>
      </c>
      <c r="F414" s="10"/>
      <c r="G414" s="13">
        <f>+D414+E414-F414</f>
        <v>21000</v>
      </c>
      <c r="H414" s="10"/>
      <c r="I414" s="3">
        <f>+G414-H414</f>
        <v>21000</v>
      </c>
      <c r="J414" s="10">
        <v>4390</v>
      </c>
      <c r="K414" s="30" t="s">
        <v>487</v>
      </c>
    </row>
    <row r="415" spans="1:11" x14ac:dyDescent="0.3">
      <c r="A415" s="9">
        <v>26</v>
      </c>
      <c r="B415" s="30" t="s">
        <v>488</v>
      </c>
      <c r="C415" s="31" t="s">
        <v>19</v>
      </c>
      <c r="D415" s="32">
        <v>0</v>
      </c>
      <c r="E415" s="28">
        <v>14500</v>
      </c>
      <c r="F415" s="32"/>
      <c r="G415" s="13">
        <f>+D415+E415-F415</f>
        <v>14500</v>
      </c>
      <c r="H415" s="4"/>
      <c r="I415" s="3">
        <f>+G415-H415</f>
        <v>14500</v>
      </c>
      <c r="J415" s="10">
        <v>4390</v>
      </c>
      <c r="K415" s="30" t="s">
        <v>110</v>
      </c>
    </row>
    <row r="416" spans="1:11" x14ac:dyDescent="0.3">
      <c r="A416" s="9">
        <v>27</v>
      </c>
      <c r="B416" s="27" t="s">
        <v>489</v>
      </c>
      <c r="C416" s="27" t="s">
        <v>26</v>
      </c>
      <c r="D416" s="4">
        <v>0</v>
      </c>
      <c r="E416" s="28">
        <v>14500</v>
      </c>
      <c r="F416" s="4"/>
      <c r="G416" s="13">
        <f>+D416+E416-F416</f>
        <v>14500</v>
      </c>
      <c r="H416" s="4"/>
      <c r="I416" s="3">
        <f>+G416-H416</f>
        <v>14500</v>
      </c>
      <c r="J416" s="10">
        <v>4390</v>
      </c>
      <c r="K416" s="29" t="s">
        <v>110</v>
      </c>
    </row>
    <row r="417" spans="1:11" x14ac:dyDescent="0.3">
      <c r="A417" s="9">
        <v>28</v>
      </c>
      <c r="B417" s="27" t="s">
        <v>490</v>
      </c>
      <c r="C417" s="27" t="s">
        <v>26</v>
      </c>
      <c r="D417" s="4">
        <v>0</v>
      </c>
      <c r="E417" s="28">
        <v>14500</v>
      </c>
      <c r="F417" s="4"/>
      <c r="G417" s="13">
        <f>+D417+E417-F417</f>
        <v>14500</v>
      </c>
      <c r="H417" s="4"/>
      <c r="I417" s="3">
        <f>+G417-H417</f>
        <v>14500</v>
      </c>
      <c r="J417" s="10">
        <v>4390</v>
      </c>
      <c r="K417" s="29" t="s">
        <v>460</v>
      </c>
    </row>
    <row r="418" spans="1:11" x14ac:dyDescent="0.3">
      <c r="A418" s="9">
        <v>29</v>
      </c>
      <c r="B418" s="27" t="s">
        <v>491</v>
      </c>
      <c r="C418" s="27" t="s">
        <v>16</v>
      </c>
      <c r="D418" s="4">
        <v>0</v>
      </c>
      <c r="E418" s="28">
        <v>14500</v>
      </c>
      <c r="F418" s="4"/>
      <c r="G418" s="13">
        <f>+D418+E418-F418</f>
        <v>14500</v>
      </c>
      <c r="H418" s="4"/>
      <c r="I418" s="3">
        <f>+G418-H418</f>
        <v>14500</v>
      </c>
      <c r="J418" s="10">
        <v>4390</v>
      </c>
      <c r="K418" s="29" t="s">
        <v>110</v>
      </c>
    </row>
    <row r="419" spans="1:11" x14ac:dyDescent="0.3">
      <c r="A419" s="9">
        <v>30</v>
      </c>
      <c r="B419" s="30" t="s">
        <v>492</v>
      </c>
      <c r="C419" s="31" t="s">
        <v>19</v>
      </c>
      <c r="D419" s="32">
        <v>0</v>
      </c>
      <c r="E419" s="28">
        <v>14500</v>
      </c>
      <c r="F419" s="32"/>
      <c r="G419" s="13">
        <f>+D419+E419-F419</f>
        <v>14500</v>
      </c>
      <c r="H419" s="4"/>
      <c r="I419" s="3">
        <f>+G419-H419</f>
        <v>14500</v>
      </c>
      <c r="J419" s="10">
        <v>4390</v>
      </c>
      <c r="K419" s="30" t="s">
        <v>110</v>
      </c>
    </row>
    <row r="420" spans="1:11" x14ac:dyDescent="0.3">
      <c r="A420" s="9">
        <v>31</v>
      </c>
      <c r="B420" s="27" t="s">
        <v>493</v>
      </c>
      <c r="C420" s="31" t="s">
        <v>21</v>
      </c>
      <c r="D420" s="32">
        <v>0</v>
      </c>
      <c r="E420" s="28">
        <v>21000</v>
      </c>
      <c r="F420" s="32"/>
      <c r="G420" s="13">
        <f>+D420+E420-F420</f>
        <v>21000</v>
      </c>
      <c r="H420" s="4"/>
      <c r="I420" s="3">
        <f>+G420-H420</f>
        <v>21000</v>
      </c>
      <c r="J420" s="10">
        <v>4390</v>
      </c>
      <c r="K420" s="27" t="s">
        <v>482</v>
      </c>
    </row>
    <row r="421" spans="1:11" x14ac:dyDescent="0.3">
      <c r="A421" s="9">
        <v>32</v>
      </c>
      <c r="B421" s="27" t="s">
        <v>494</v>
      </c>
      <c r="C421" s="31" t="s">
        <v>43</v>
      </c>
      <c r="D421" s="4">
        <v>0</v>
      </c>
      <c r="E421" s="28">
        <v>14500</v>
      </c>
      <c r="F421" s="3"/>
      <c r="G421" s="13">
        <f>+D421+E421-F421</f>
        <v>14500</v>
      </c>
      <c r="H421" s="9">
        <v>5000</v>
      </c>
      <c r="I421" s="3">
        <f>+G421-H421</f>
        <v>9500</v>
      </c>
      <c r="J421" s="10">
        <v>4390</v>
      </c>
      <c r="K421" s="29" t="s">
        <v>110</v>
      </c>
    </row>
    <row r="422" spans="1:11" x14ac:dyDescent="0.3">
      <c r="A422" s="9">
        <v>33</v>
      </c>
      <c r="B422" s="27" t="s">
        <v>495</v>
      </c>
      <c r="C422" s="27" t="s">
        <v>33</v>
      </c>
      <c r="D422" s="4">
        <v>13000</v>
      </c>
      <c r="E422" s="28">
        <v>21000</v>
      </c>
      <c r="F422" s="4"/>
      <c r="G422" s="13">
        <f>+D422+E422-F422</f>
        <v>34000</v>
      </c>
      <c r="H422" s="4"/>
      <c r="I422" s="3">
        <f>+G422-H422</f>
        <v>34000</v>
      </c>
      <c r="J422" s="10">
        <v>4390</v>
      </c>
      <c r="K422" s="33" t="s">
        <v>458</v>
      </c>
    </row>
    <row r="423" spans="1:11" x14ac:dyDescent="0.3">
      <c r="A423" s="9">
        <v>34</v>
      </c>
      <c r="B423" s="27" t="s">
        <v>496</v>
      </c>
      <c r="C423" s="27" t="s">
        <v>33</v>
      </c>
      <c r="D423" s="4">
        <v>0</v>
      </c>
      <c r="E423" s="28">
        <v>21000</v>
      </c>
      <c r="F423" s="4"/>
      <c r="G423" s="13">
        <f>+D423+E423-F423</f>
        <v>21000</v>
      </c>
      <c r="H423" s="4"/>
      <c r="I423" s="3">
        <f>+G423-H423</f>
        <v>21000</v>
      </c>
      <c r="J423" s="10">
        <v>4390</v>
      </c>
      <c r="K423" s="33" t="s">
        <v>458</v>
      </c>
    </row>
    <row r="424" spans="1:11" x14ac:dyDescent="0.3">
      <c r="A424" s="9">
        <v>35</v>
      </c>
      <c r="B424" s="27" t="s">
        <v>497</v>
      </c>
      <c r="C424" s="27" t="s">
        <v>29</v>
      </c>
      <c r="D424" s="4">
        <v>0</v>
      </c>
      <c r="E424" s="28">
        <v>21000</v>
      </c>
      <c r="F424" s="4"/>
      <c r="G424" s="13">
        <f>+D424+E424-F424</f>
        <v>21000</v>
      </c>
      <c r="H424" s="4"/>
      <c r="I424" s="3">
        <f>+G424-H424</f>
        <v>21000</v>
      </c>
      <c r="J424" s="10">
        <v>4390</v>
      </c>
      <c r="K424" s="27" t="s">
        <v>482</v>
      </c>
    </row>
    <row r="425" spans="1:11" x14ac:dyDescent="0.3">
      <c r="A425" s="9">
        <v>36</v>
      </c>
      <c r="B425" s="27" t="s">
        <v>498</v>
      </c>
      <c r="C425" s="27" t="s">
        <v>31</v>
      </c>
      <c r="D425" s="4">
        <v>13500</v>
      </c>
      <c r="E425" s="28">
        <v>14500</v>
      </c>
      <c r="F425" s="4"/>
      <c r="G425" s="13">
        <f>+D425+E425-F425</f>
        <v>28000</v>
      </c>
      <c r="H425" s="4"/>
      <c r="I425" s="3">
        <f>+G425-H425</f>
        <v>28000</v>
      </c>
      <c r="J425" s="10">
        <v>4390</v>
      </c>
      <c r="K425" s="33" t="s">
        <v>110</v>
      </c>
    </row>
    <row r="426" spans="1:11" x14ac:dyDescent="0.3">
      <c r="A426" s="9">
        <v>37</v>
      </c>
      <c r="B426" s="27" t="s">
        <v>499</v>
      </c>
      <c r="C426" s="27" t="s">
        <v>193</v>
      </c>
      <c r="D426" s="4">
        <v>0</v>
      </c>
      <c r="E426" s="28">
        <v>21000</v>
      </c>
      <c r="F426" s="4"/>
      <c r="G426" s="13">
        <f>+D426+E426-F426</f>
        <v>21000</v>
      </c>
      <c r="H426" s="4"/>
      <c r="I426" s="3">
        <f>+G426-H426</f>
        <v>21000</v>
      </c>
      <c r="J426" s="10">
        <v>4390</v>
      </c>
      <c r="K426" s="33" t="s">
        <v>473</v>
      </c>
    </row>
    <row r="427" spans="1:11" x14ac:dyDescent="0.3">
      <c r="A427" s="9">
        <v>38</v>
      </c>
      <c r="B427" s="27" t="s">
        <v>500</v>
      </c>
      <c r="C427" s="27" t="s">
        <v>26</v>
      </c>
      <c r="D427" s="4">
        <v>0</v>
      </c>
      <c r="E427" s="28">
        <v>14500</v>
      </c>
      <c r="F427" s="4"/>
      <c r="G427" s="13">
        <f>+D427+E427-F427</f>
        <v>14500</v>
      </c>
      <c r="H427" s="4"/>
      <c r="I427" s="3">
        <f>+G427-H427</f>
        <v>14500</v>
      </c>
      <c r="J427" s="10">
        <v>4390</v>
      </c>
      <c r="K427" s="30" t="s">
        <v>363</v>
      </c>
    </row>
    <row r="428" spans="1:11" x14ac:dyDescent="0.3">
      <c r="A428" s="9">
        <v>39</v>
      </c>
      <c r="B428" s="30" t="s">
        <v>501</v>
      </c>
      <c r="C428" s="30" t="s">
        <v>47</v>
      </c>
      <c r="D428" s="10">
        <v>0</v>
      </c>
      <c r="E428" s="28">
        <v>21000</v>
      </c>
      <c r="F428" s="10"/>
      <c r="G428" s="13">
        <f>+D428+E428-F428</f>
        <v>21000</v>
      </c>
      <c r="H428" s="10"/>
      <c r="I428" s="3">
        <f>+G428-H428</f>
        <v>21000</v>
      </c>
      <c r="J428" s="10">
        <v>4390</v>
      </c>
      <c r="K428" s="38" t="s">
        <v>502</v>
      </c>
    </row>
    <row r="429" spans="1:11" x14ac:dyDescent="0.3">
      <c r="A429" s="9">
        <v>40</v>
      </c>
      <c r="B429" s="27" t="s">
        <v>503</v>
      </c>
      <c r="C429" s="27" t="s">
        <v>193</v>
      </c>
      <c r="D429" s="4">
        <v>0</v>
      </c>
      <c r="E429" s="28">
        <v>21000</v>
      </c>
      <c r="F429" s="4"/>
      <c r="G429" s="13">
        <f>+D429+E429-F429</f>
        <v>21000</v>
      </c>
      <c r="H429" s="4"/>
      <c r="I429" s="3">
        <f>+G429-H429</f>
        <v>21000</v>
      </c>
      <c r="J429" s="10">
        <v>4390</v>
      </c>
      <c r="K429" s="33" t="s">
        <v>504</v>
      </c>
    </row>
    <row r="430" spans="1:11" x14ac:dyDescent="0.3">
      <c r="A430" s="9">
        <v>41</v>
      </c>
      <c r="B430" s="39" t="s">
        <v>505</v>
      </c>
      <c r="C430" s="27" t="s">
        <v>21</v>
      </c>
      <c r="D430" s="4">
        <v>0</v>
      </c>
      <c r="E430" s="28">
        <v>21000</v>
      </c>
      <c r="F430" s="4"/>
      <c r="G430" s="13">
        <f>+D430+E430-F430</f>
        <v>21000</v>
      </c>
      <c r="H430" s="4"/>
      <c r="I430" s="3">
        <f>+G430-H430</f>
        <v>21000</v>
      </c>
      <c r="J430" s="10">
        <v>4390</v>
      </c>
      <c r="K430" s="39" t="s">
        <v>454</v>
      </c>
    </row>
    <row r="431" spans="1:11" x14ac:dyDescent="0.3">
      <c r="A431" s="9">
        <v>42</v>
      </c>
      <c r="B431" s="27" t="s">
        <v>506</v>
      </c>
      <c r="C431" s="29" t="s">
        <v>29</v>
      </c>
      <c r="D431" s="9">
        <v>11000</v>
      </c>
      <c r="E431" s="28">
        <v>14500</v>
      </c>
      <c r="F431" s="3"/>
      <c r="G431" s="13">
        <f>+D431+E431-F431</f>
        <v>25500</v>
      </c>
      <c r="H431" s="9"/>
      <c r="I431" s="3">
        <f>+G431-H431</f>
        <v>25500</v>
      </c>
      <c r="J431" s="10">
        <v>4390</v>
      </c>
      <c r="K431" s="29" t="s">
        <v>507</v>
      </c>
    </row>
    <row r="432" spans="1:11" x14ac:dyDescent="0.3">
      <c r="A432" s="9">
        <v>43</v>
      </c>
      <c r="B432" s="27" t="s">
        <v>508</v>
      </c>
      <c r="C432" s="30" t="s">
        <v>33</v>
      </c>
      <c r="D432" s="10">
        <v>0</v>
      </c>
      <c r="E432" s="28">
        <v>14500</v>
      </c>
      <c r="F432" s="10"/>
      <c r="G432" s="13">
        <f>+D432+E432-F432</f>
        <v>14500</v>
      </c>
      <c r="H432" s="10"/>
      <c r="I432" s="3">
        <f>+G432-H432</f>
        <v>14500</v>
      </c>
      <c r="J432" s="10">
        <v>4390</v>
      </c>
      <c r="K432" s="29" t="s">
        <v>110</v>
      </c>
    </row>
    <row r="433" spans="1:12" x14ac:dyDescent="0.3">
      <c r="A433" s="9">
        <v>44</v>
      </c>
      <c r="B433" s="30" t="s">
        <v>509</v>
      </c>
      <c r="C433" s="31" t="s">
        <v>19</v>
      </c>
      <c r="D433" s="32">
        <v>1750</v>
      </c>
      <c r="E433" s="28">
        <v>14500</v>
      </c>
      <c r="F433" s="32"/>
      <c r="G433" s="13">
        <f>+D433+E433-F433</f>
        <v>16250</v>
      </c>
      <c r="H433" s="4">
        <v>1750</v>
      </c>
      <c r="I433" s="3">
        <f>+G433-H433</f>
        <v>14500</v>
      </c>
      <c r="J433" s="10">
        <v>4390</v>
      </c>
      <c r="K433" s="30" t="s">
        <v>110</v>
      </c>
    </row>
    <row r="434" spans="1:12" x14ac:dyDescent="0.3">
      <c r="A434" s="35"/>
      <c r="B434" s="35"/>
      <c r="C434" s="35"/>
      <c r="D434" s="37">
        <f t="shared" ref="D434:I434" si="8">SUM(D390:D433)</f>
        <v>212800</v>
      </c>
      <c r="E434" s="37">
        <f t="shared" si="8"/>
        <v>762500</v>
      </c>
      <c r="F434" s="37">
        <f t="shared" si="8"/>
        <v>0</v>
      </c>
      <c r="G434" s="37">
        <f t="shared" si="8"/>
        <v>975300</v>
      </c>
      <c r="H434" s="37">
        <f t="shared" si="8"/>
        <v>70300</v>
      </c>
      <c r="I434" s="37">
        <f t="shared" si="8"/>
        <v>905000</v>
      </c>
      <c r="J434" s="35"/>
      <c r="K434" s="35"/>
    </row>
    <row r="435" spans="1:12" x14ac:dyDescent="0.3">
      <c r="A435" s="1" t="s">
        <v>0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2" ht="20.25" customHeight="1" x14ac:dyDescent="0.3">
      <c r="A436" s="2" t="s">
        <v>1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2" ht="17.25" customHeight="1" x14ac:dyDescent="0.3">
      <c r="A437" s="1" t="s">
        <v>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2" ht="40.5" customHeight="1" x14ac:dyDescent="0.3">
      <c r="A438" s="3" t="s">
        <v>3</v>
      </c>
      <c r="B438" s="3" t="s">
        <v>4</v>
      </c>
      <c r="C438" s="3" t="s">
        <v>5</v>
      </c>
      <c r="D438" s="3" t="s">
        <v>6</v>
      </c>
      <c r="E438" s="3" t="s">
        <v>7</v>
      </c>
      <c r="F438" s="3" t="s">
        <v>8</v>
      </c>
      <c r="G438" s="3" t="s">
        <v>9</v>
      </c>
      <c r="H438" s="3" t="s">
        <v>10</v>
      </c>
      <c r="I438" s="3" t="s">
        <v>11</v>
      </c>
      <c r="J438" s="3" t="s">
        <v>12</v>
      </c>
      <c r="K438" s="3" t="s">
        <v>13</v>
      </c>
      <c r="L438" s="26" t="s">
        <v>14</v>
      </c>
    </row>
    <row r="439" spans="1:12" x14ac:dyDescent="0.3">
      <c r="A439" s="10">
        <v>1</v>
      </c>
      <c r="B439" s="27" t="s">
        <v>510</v>
      </c>
      <c r="C439" s="30" t="s">
        <v>47</v>
      </c>
      <c r="D439" s="10">
        <v>0</v>
      </c>
      <c r="E439" s="28">
        <v>12000</v>
      </c>
      <c r="F439" s="10"/>
      <c r="G439" s="13">
        <f>+D439+E439-F439</f>
        <v>12000</v>
      </c>
      <c r="H439" s="10"/>
      <c r="I439" s="3">
        <f>+G439-H439</f>
        <v>12000</v>
      </c>
      <c r="J439" s="4">
        <v>4391</v>
      </c>
      <c r="K439" s="29" t="s">
        <v>511</v>
      </c>
      <c r="L439" s="11"/>
    </row>
    <row r="440" spans="1:12" x14ac:dyDescent="0.3">
      <c r="A440" s="10">
        <v>2</v>
      </c>
      <c r="B440" s="27" t="s">
        <v>512</v>
      </c>
      <c r="C440" s="30" t="s">
        <v>33</v>
      </c>
      <c r="D440" s="10">
        <v>0</v>
      </c>
      <c r="E440" s="28">
        <v>12000</v>
      </c>
      <c r="F440" s="10"/>
      <c r="G440" s="13">
        <f>+D440+E440-F440</f>
        <v>12000</v>
      </c>
      <c r="H440" s="10"/>
      <c r="I440" s="3">
        <f>+G440-H440</f>
        <v>12000</v>
      </c>
      <c r="J440" s="4">
        <v>4391</v>
      </c>
      <c r="K440" s="29" t="s">
        <v>511</v>
      </c>
      <c r="L440" s="11"/>
    </row>
    <row r="441" spans="1:12" x14ac:dyDescent="0.3">
      <c r="A441" s="10">
        <v>3</v>
      </c>
      <c r="B441" s="27" t="s">
        <v>513</v>
      </c>
      <c r="C441" s="29" t="s">
        <v>33</v>
      </c>
      <c r="D441" s="9">
        <v>4500</v>
      </c>
      <c r="E441" s="28">
        <v>20000</v>
      </c>
      <c r="F441" s="3"/>
      <c r="G441" s="13">
        <f>+D441+E441-F441</f>
        <v>24500</v>
      </c>
      <c r="H441" s="9"/>
      <c r="I441" s="3">
        <f>+G441-H441</f>
        <v>24500</v>
      </c>
      <c r="J441" s="4">
        <v>4391</v>
      </c>
      <c r="K441" s="38" t="s">
        <v>514</v>
      </c>
      <c r="L441" s="11"/>
    </row>
    <row r="442" spans="1:12" x14ac:dyDescent="0.3">
      <c r="A442" s="10">
        <v>4</v>
      </c>
      <c r="B442" s="27" t="s">
        <v>515</v>
      </c>
      <c r="C442" s="30" t="s">
        <v>16</v>
      </c>
      <c r="D442" s="4">
        <v>0</v>
      </c>
      <c r="E442" s="28">
        <v>20000</v>
      </c>
      <c r="F442" s="4"/>
      <c r="G442" s="13">
        <f>+D442+E442-F442</f>
        <v>20000</v>
      </c>
      <c r="H442" s="4"/>
      <c r="I442" s="3">
        <f>+G442-H442</f>
        <v>20000</v>
      </c>
      <c r="J442" s="4">
        <v>4391</v>
      </c>
      <c r="K442" s="29" t="s">
        <v>516</v>
      </c>
      <c r="L442" s="11"/>
    </row>
    <row r="443" spans="1:12" x14ac:dyDescent="0.3">
      <c r="A443" s="10">
        <v>5</v>
      </c>
      <c r="B443" s="27" t="s">
        <v>517</v>
      </c>
      <c r="C443" s="29" t="s">
        <v>31</v>
      </c>
      <c r="D443" s="9">
        <v>14000</v>
      </c>
      <c r="E443" s="28">
        <v>21000</v>
      </c>
      <c r="F443" s="3"/>
      <c r="G443" s="13">
        <f>+D443+E443-F443</f>
        <v>35000</v>
      </c>
      <c r="H443" s="9"/>
      <c r="I443" s="3">
        <f>+G443-H443</f>
        <v>35000</v>
      </c>
      <c r="J443" s="4">
        <v>4391</v>
      </c>
      <c r="K443" s="27" t="s">
        <v>119</v>
      </c>
      <c r="L443" s="11"/>
    </row>
    <row r="444" spans="1:12" x14ac:dyDescent="0.3">
      <c r="A444" s="10">
        <v>6</v>
      </c>
      <c r="B444" s="30" t="s">
        <v>518</v>
      </c>
      <c r="C444" s="38" t="s">
        <v>193</v>
      </c>
      <c r="D444" s="4">
        <v>0</v>
      </c>
      <c r="E444" s="28">
        <v>20000</v>
      </c>
      <c r="F444" s="3"/>
      <c r="G444" s="13">
        <f>+D444+E444-F444</f>
        <v>20000</v>
      </c>
      <c r="H444" s="3"/>
      <c r="I444" s="3">
        <f>+G444-H444</f>
        <v>20000</v>
      </c>
      <c r="J444" s="4">
        <v>4391</v>
      </c>
      <c r="K444" s="38" t="s">
        <v>514</v>
      </c>
      <c r="L444" s="11"/>
    </row>
    <row r="445" spans="1:12" x14ac:dyDescent="0.3">
      <c r="A445" s="10">
        <v>7</v>
      </c>
      <c r="B445" s="27" t="s">
        <v>519</v>
      </c>
      <c r="C445" s="30" t="s">
        <v>16</v>
      </c>
      <c r="D445" s="9">
        <v>10000</v>
      </c>
      <c r="E445" s="28">
        <v>20000</v>
      </c>
      <c r="F445" s="3"/>
      <c r="G445" s="13">
        <f>+D445+E445-F445</f>
        <v>30000</v>
      </c>
      <c r="H445" s="3"/>
      <c r="I445" s="3">
        <f>+G445-H445</f>
        <v>30000</v>
      </c>
      <c r="J445" s="4">
        <v>4391</v>
      </c>
      <c r="K445" s="30" t="s">
        <v>520</v>
      </c>
      <c r="L445" s="11"/>
    </row>
    <row r="446" spans="1:12" x14ac:dyDescent="0.3">
      <c r="A446" s="10">
        <v>8</v>
      </c>
      <c r="B446" s="27" t="s">
        <v>521</v>
      </c>
      <c r="C446" s="38" t="s">
        <v>193</v>
      </c>
      <c r="D446" s="9">
        <v>0</v>
      </c>
      <c r="E446" s="28">
        <v>21000</v>
      </c>
      <c r="F446" s="3"/>
      <c r="G446" s="13">
        <f>+D446+E446-F446</f>
        <v>21000</v>
      </c>
      <c r="H446" s="9"/>
      <c r="I446" s="3">
        <f>+G446-H446</f>
        <v>21000</v>
      </c>
      <c r="J446" s="4">
        <v>4391</v>
      </c>
      <c r="K446" s="27" t="s">
        <v>119</v>
      </c>
      <c r="L446" s="11"/>
    </row>
    <row r="447" spans="1:12" x14ac:dyDescent="0.3">
      <c r="A447" s="10">
        <v>9</v>
      </c>
      <c r="B447" s="27" t="s">
        <v>522</v>
      </c>
      <c r="C447" s="29" t="s">
        <v>16</v>
      </c>
      <c r="D447" s="9">
        <v>15000</v>
      </c>
      <c r="E447" s="28">
        <v>21000</v>
      </c>
      <c r="F447" s="3"/>
      <c r="G447" s="13">
        <f>+D447+E447-F447</f>
        <v>36000</v>
      </c>
      <c r="H447" s="9"/>
      <c r="I447" s="3">
        <f>+G447-H447</f>
        <v>36000</v>
      </c>
      <c r="J447" s="4">
        <v>4391</v>
      </c>
      <c r="K447" s="27" t="s">
        <v>119</v>
      </c>
      <c r="L447" s="11"/>
    </row>
    <row r="448" spans="1:12" x14ac:dyDescent="0.3">
      <c r="A448" s="10">
        <v>10</v>
      </c>
      <c r="B448" s="30" t="s">
        <v>523</v>
      </c>
      <c r="C448" s="38" t="s">
        <v>193</v>
      </c>
      <c r="D448" s="4">
        <v>0</v>
      </c>
      <c r="E448" s="28">
        <v>20000</v>
      </c>
      <c r="F448" s="3"/>
      <c r="G448" s="13">
        <f>+D448+E448-F448</f>
        <v>20000</v>
      </c>
      <c r="H448" s="3"/>
      <c r="I448" s="3">
        <f>+G448-H448</f>
        <v>20000</v>
      </c>
      <c r="J448" s="4">
        <v>4391</v>
      </c>
      <c r="K448" s="38" t="s">
        <v>524</v>
      </c>
      <c r="L448" s="11"/>
    </row>
    <row r="449" spans="1:13" x14ac:dyDescent="0.3">
      <c r="A449" s="10">
        <v>11</v>
      </c>
      <c r="B449" s="30" t="s">
        <v>525</v>
      </c>
      <c r="C449" s="38" t="s">
        <v>193</v>
      </c>
      <c r="D449" s="4">
        <v>0</v>
      </c>
      <c r="E449" s="28">
        <v>20000</v>
      </c>
      <c r="F449" s="3"/>
      <c r="G449" s="13">
        <f>+D449+E449-F449</f>
        <v>20000</v>
      </c>
      <c r="H449" s="3"/>
      <c r="I449" s="3">
        <f>+G449-H449</f>
        <v>20000</v>
      </c>
      <c r="J449" s="4">
        <v>4391</v>
      </c>
      <c r="K449" s="38" t="s">
        <v>514</v>
      </c>
      <c r="L449" s="11"/>
    </row>
    <row r="450" spans="1:13" x14ac:dyDescent="0.3">
      <c r="A450" s="10">
        <v>12</v>
      </c>
      <c r="B450" s="27" t="s">
        <v>526</v>
      </c>
      <c r="C450" s="29" t="s">
        <v>47</v>
      </c>
      <c r="D450" s="9">
        <v>17000</v>
      </c>
      <c r="E450" s="28">
        <v>20000</v>
      </c>
      <c r="F450" s="3"/>
      <c r="G450" s="13">
        <f>+D450+E450-F450</f>
        <v>37000</v>
      </c>
      <c r="H450" s="9">
        <v>8000</v>
      </c>
      <c r="I450" s="3">
        <f>+G450-H450</f>
        <v>29000</v>
      </c>
      <c r="J450" s="4">
        <v>4391</v>
      </c>
      <c r="K450" s="38" t="s">
        <v>514</v>
      </c>
      <c r="L450" s="11"/>
    </row>
    <row r="451" spans="1:13" x14ac:dyDescent="0.3">
      <c r="A451" s="10">
        <v>13</v>
      </c>
      <c r="B451" s="27" t="s">
        <v>527</v>
      </c>
      <c r="C451" s="29" t="s">
        <v>29</v>
      </c>
      <c r="D451" s="9">
        <v>26000</v>
      </c>
      <c r="E451" s="28">
        <v>20000</v>
      </c>
      <c r="F451" s="3"/>
      <c r="G451" s="13">
        <f>+D451+E451-F451</f>
        <v>46000</v>
      </c>
      <c r="H451" s="9"/>
      <c r="I451" s="3">
        <f>+G451-H451</f>
        <v>46000</v>
      </c>
      <c r="J451" s="4">
        <v>4391</v>
      </c>
      <c r="K451" s="33" t="s">
        <v>528</v>
      </c>
      <c r="L451" s="11"/>
    </row>
    <row r="452" spans="1:13" x14ac:dyDescent="0.3">
      <c r="A452" s="10">
        <v>14</v>
      </c>
      <c r="B452" s="30" t="s">
        <v>529</v>
      </c>
      <c r="C452" s="38" t="s">
        <v>33</v>
      </c>
      <c r="D452" s="9">
        <v>9500</v>
      </c>
      <c r="E452" s="28">
        <v>20000</v>
      </c>
      <c r="F452" s="3"/>
      <c r="G452" s="13">
        <f>+D452+E452-F452</f>
        <v>29500</v>
      </c>
      <c r="H452" s="9"/>
      <c r="I452" s="3">
        <f>+G452-H452</f>
        <v>29500</v>
      </c>
      <c r="J452" s="4">
        <v>4391</v>
      </c>
      <c r="K452" s="29" t="s">
        <v>516</v>
      </c>
      <c r="L452" s="11"/>
    </row>
    <row r="453" spans="1:13" x14ac:dyDescent="0.3">
      <c r="A453" s="10">
        <v>15</v>
      </c>
      <c r="B453" s="27" t="s">
        <v>530</v>
      </c>
      <c r="C453" s="29" t="s">
        <v>26</v>
      </c>
      <c r="D453" s="9">
        <v>0</v>
      </c>
      <c r="E453" s="28">
        <v>20000</v>
      </c>
      <c r="F453" s="3"/>
      <c r="G453" s="13">
        <f>+D453+E453-F453</f>
        <v>20000</v>
      </c>
      <c r="H453" s="9"/>
      <c r="I453" s="3">
        <f>+G453-H453</f>
        <v>20000</v>
      </c>
      <c r="J453" s="4">
        <v>4391</v>
      </c>
      <c r="K453" s="33" t="s">
        <v>528</v>
      </c>
      <c r="L453" s="11"/>
    </row>
    <row r="454" spans="1:13" x14ac:dyDescent="0.3">
      <c r="A454" s="10">
        <v>16</v>
      </c>
      <c r="B454" s="27" t="s">
        <v>531</v>
      </c>
      <c r="C454" s="38" t="s">
        <v>193</v>
      </c>
      <c r="D454" s="4">
        <v>0</v>
      </c>
      <c r="E454" s="28">
        <v>20000</v>
      </c>
      <c r="F454" s="3"/>
      <c r="G454" s="13">
        <f>+D454+E454-F454</f>
        <v>20000</v>
      </c>
      <c r="H454" s="9"/>
      <c r="I454" s="3">
        <f>+G454-H454</f>
        <v>20000</v>
      </c>
      <c r="J454" s="4">
        <v>4391</v>
      </c>
      <c r="K454" s="29" t="s">
        <v>516</v>
      </c>
      <c r="L454" s="11"/>
    </row>
    <row r="455" spans="1:13" x14ac:dyDescent="0.3">
      <c r="A455" s="10">
        <v>17</v>
      </c>
      <c r="B455" s="30" t="s">
        <v>532</v>
      </c>
      <c r="C455" s="30" t="s">
        <v>16</v>
      </c>
      <c r="D455" s="10">
        <v>0</v>
      </c>
      <c r="E455" s="28">
        <v>20000</v>
      </c>
      <c r="F455" s="10"/>
      <c r="G455" s="13">
        <f>+D455+E455-F455</f>
        <v>20000</v>
      </c>
      <c r="H455" s="10"/>
      <c r="I455" s="3">
        <f>+G455-H455</f>
        <v>20000</v>
      </c>
      <c r="J455" s="10">
        <v>4391</v>
      </c>
      <c r="K455" s="38" t="s">
        <v>514</v>
      </c>
      <c r="L455" s="11"/>
      <c r="M455" s="11"/>
    </row>
    <row r="456" spans="1:13" x14ac:dyDescent="0.3">
      <c r="A456" s="10">
        <v>18</v>
      </c>
      <c r="B456" s="30" t="s">
        <v>533</v>
      </c>
      <c r="C456" s="31" t="s">
        <v>26</v>
      </c>
      <c r="D456" s="32">
        <v>0</v>
      </c>
      <c r="E456" s="28">
        <v>20000</v>
      </c>
      <c r="F456" s="32"/>
      <c r="G456" s="13">
        <f>+D456+E456-F456</f>
        <v>20000</v>
      </c>
      <c r="H456" s="10">
        <v>5000</v>
      </c>
      <c r="I456" s="3">
        <f>+G456-H456</f>
        <v>15000</v>
      </c>
      <c r="J456" s="45" t="s">
        <v>534</v>
      </c>
      <c r="K456" s="30" t="s">
        <v>535</v>
      </c>
      <c r="L456" s="11"/>
    </row>
    <row r="457" spans="1:13" x14ac:dyDescent="0.3">
      <c r="A457" s="10">
        <v>19</v>
      </c>
      <c r="B457" s="30" t="s">
        <v>536</v>
      </c>
      <c r="C457" s="31" t="s">
        <v>24</v>
      </c>
      <c r="D457" s="32">
        <v>9000</v>
      </c>
      <c r="E457" s="28">
        <v>20000</v>
      </c>
      <c r="F457" s="32"/>
      <c r="G457" s="13">
        <f>+D457+E457-F457</f>
        <v>29000</v>
      </c>
      <c r="H457" s="42">
        <f>4000+5000</f>
        <v>9000</v>
      </c>
      <c r="I457" s="46">
        <f>+G457-H457</f>
        <v>20000</v>
      </c>
      <c r="J457" s="10">
        <v>4391</v>
      </c>
      <c r="K457" s="30" t="s">
        <v>520</v>
      </c>
      <c r="L457" s="11"/>
    </row>
    <row r="458" spans="1:13" x14ac:dyDescent="0.3">
      <c r="A458" s="35"/>
      <c r="B458" s="35"/>
      <c r="C458" s="35"/>
      <c r="D458" s="37">
        <f t="shared" ref="D458:I458" si="9">SUM(D439:D457)</f>
        <v>105000</v>
      </c>
      <c r="E458" s="37">
        <f t="shared" si="9"/>
        <v>367000</v>
      </c>
      <c r="F458" s="37">
        <f t="shared" si="9"/>
        <v>0</v>
      </c>
      <c r="G458" s="37">
        <f t="shared" si="9"/>
        <v>472000</v>
      </c>
      <c r="H458" s="37">
        <f t="shared" si="9"/>
        <v>22000</v>
      </c>
      <c r="I458" s="37">
        <f t="shared" si="9"/>
        <v>450000</v>
      </c>
      <c r="J458" s="35"/>
      <c r="K458" s="35"/>
    </row>
    <row r="459" spans="1:13" x14ac:dyDescent="0.3">
      <c r="A459" s="1" t="s">
        <v>0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3" ht="20.25" customHeight="1" x14ac:dyDescent="0.3">
      <c r="A460" s="2" t="s">
        <v>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3" ht="17.25" customHeight="1" x14ac:dyDescent="0.3">
      <c r="A461" s="1" t="s">
        <v>2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3" ht="40.5" customHeight="1" x14ac:dyDescent="0.3">
      <c r="A462" s="3" t="s">
        <v>3</v>
      </c>
      <c r="B462" s="3" t="s">
        <v>4</v>
      </c>
      <c r="C462" s="3" t="s">
        <v>5</v>
      </c>
      <c r="D462" s="3" t="s">
        <v>6</v>
      </c>
      <c r="E462" s="3" t="s">
        <v>7</v>
      </c>
      <c r="F462" s="3" t="s">
        <v>8</v>
      </c>
      <c r="G462" s="3" t="s">
        <v>9</v>
      </c>
      <c r="H462" s="3" t="s">
        <v>10</v>
      </c>
      <c r="I462" s="3" t="s">
        <v>11</v>
      </c>
      <c r="J462" s="3" t="s">
        <v>12</v>
      </c>
      <c r="K462" s="3" t="s">
        <v>13</v>
      </c>
      <c r="L462" s="26" t="s">
        <v>14</v>
      </c>
    </row>
    <row r="463" spans="1:13" x14ac:dyDescent="0.3">
      <c r="A463" s="9">
        <v>1</v>
      </c>
      <c r="B463" s="33" t="s">
        <v>537</v>
      </c>
      <c r="C463" s="30" t="s">
        <v>47</v>
      </c>
      <c r="D463" s="4">
        <v>8250</v>
      </c>
      <c r="E463" s="28">
        <v>17500</v>
      </c>
      <c r="F463" s="3"/>
      <c r="G463" s="13">
        <f>+D463+E463-F463</f>
        <v>25750</v>
      </c>
      <c r="H463" s="9">
        <v>8250</v>
      </c>
      <c r="I463" s="3">
        <f>+G463-H463</f>
        <v>17500</v>
      </c>
      <c r="J463" s="4">
        <v>4392</v>
      </c>
      <c r="K463" s="29" t="s">
        <v>538</v>
      </c>
    </row>
    <row r="464" spans="1:13" x14ac:dyDescent="0.3">
      <c r="A464" s="9">
        <v>2</v>
      </c>
      <c r="B464" s="27" t="s">
        <v>540</v>
      </c>
      <c r="C464" s="27" t="s">
        <v>21</v>
      </c>
      <c r="D464" s="4">
        <v>0</v>
      </c>
      <c r="E464" s="28">
        <v>18000</v>
      </c>
      <c r="F464" s="4"/>
      <c r="G464" s="13">
        <f>+D464+E464-F464</f>
        <v>18000</v>
      </c>
      <c r="H464" s="4"/>
      <c r="I464" s="3">
        <f>+G464-H464</f>
        <v>18000</v>
      </c>
      <c r="J464" s="4">
        <v>4392</v>
      </c>
      <c r="K464" s="29" t="s">
        <v>541</v>
      </c>
    </row>
    <row r="465" spans="1:15" x14ac:dyDescent="0.3">
      <c r="A465" s="9">
        <v>3</v>
      </c>
      <c r="B465" s="27" t="s">
        <v>539</v>
      </c>
      <c r="C465" s="27" t="s">
        <v>31</v>
      </c>
      <c r="D465" s="4">
        <v>0</v>
      </c>
      <c r="E465" s="28">
        <v>17500</v>
      </c>
      <c r="F465" s="4"/>
      <c r="G465" s="13">
        <f>+D465+E465-F465</f>
        <v>17500</v>
      </c>
      <c r="H465" s="4"/>
      <c r="I465" s="3">
        <f>+G465-H465</f>
        <v>17500</v>
      </c>
      <c r="J465" s="4">
        <v>4392</v>
      </c>
      <c r="K465" s="29" t="s">
        <v>538</v>
      </c>
    </row>
    <row r="466" spans="1:15" x14ac:dyDescent="0.3">
      <c r="A466" s="9">
        <v>4</v>
      </c>
      <c r="B466" s="30" t="s">
        <v>542</v>
      </c>
      <c r="C466" s="31" t="s">
        <v>19</v>
      </c>
      <c r="D466" s="32">
        <v>9000</v>
      </c>
      <c r="E466" s="28">
        <v>17500</v>
      </c>
      <c r="F466" s="32"/>
      <c r="G466" s="13">
        <f>+D466+E466-F466</f>
        <v>26500</v>
      </c>
      <c r="H466" s="32" t="s">
        <v>543</v>
      </c>
      <c r="I466" s="3">
        <f>+G466-H466</f>
        <v>20000</v>
      </c>
      <c r="J466" s="4">
        <v>4392</v>
      </c>
      <c r="K466" s="30" t="s">
        <v>538</v>
      </c>
      <c r="O466" s="6"/>
    </row>
    <row r="467" spans="1:15" x14ac:dyDescent="0.3">
      <c r="A467" s="9">
        <v>5</v>
      </c>
      <c r="B467" s="27" t="s">
        <v>544</v>
      </c>
      <c r="C467" s="27" t="s">
        <v>24</v>
      </c>
      <c r="D467" s="4">
        <v>0</v>
      </c>
      <c r="E467" s="28">
        <v>20000</v>
      </c>
      <c r="F467" s="4"/>
      <c r="G467" s="13">
        <f>+D467+E467-F467</f>
        <v>20000</v>
      </c>
      <c r="H467" s="4"/>
      <c r="I467" s="3">
        <f>+G467-H467</f>
        <v>20000</v>
      </c>
      <c r="J467" s="4">
        <v>4392</v>
      </c>
      <c r="K467" s="29" t="s">
        <v>545</v>
      </c>
      <c r="O467" s="6"/>
    </row>
    <row r="468" spans="1:15" x14ac:dyDescent="0.3">
      <c r="A468" s="9">
        <v>6</v>
      </c>
      <c r="B468" s="33" t="s">
        <v>546</v>
      </c>
      <c r="C468" s="29" t="s">
        <v>16</v>
      </c>
      <c r="D468" s="9">
        <v>8000</v>
      </c>
      <c r="E468" s="28">
        <v>18000</v>
      </c>
      <c r="F468" s="3"/>
      <c r="G468" s="13">
        <f>+D468+E468-F468</f>
        <v>26000</v>
      </c>
      <c r="H468" s="9">
        <v>8000</v>
      </c>
      <c r="I468" s="3">
        <f>+G468-H468</f>
        <v>18000</v>
      </c>
      <c r="J468" s="4">
        <v>4392</v>
      </c>
      <c r="K468" s="30" t="s">
        <v>547</v>
      </c>
    </row>
    <row r="469" spans="1:15" x14ac:dyDescent="0.3">
      <c r="A469" s="9">
        <v>7</v>
      </c>
      <c r="B469" s="30" t="s">
        <v>548</v>
      </c>
      <c r="C469" s="30" t="s">
        <v>43</v>
      </c>
      <c r="D469" s="10">
        <v>0</v>
      </c>
      <c r="E469" s="28">
        <v>17000</v>
      </c>
      <c r="F469" s="10"/>
      <c r="G469" s="13">
        <f>+D469+E469-F469</f>
        <v>17000</v>
      </c>
      <c r="H469" s="10"/>
      <c r="I469" s="3">
        <f>+G469-H469</f>
        <v>17000</v>
      </c>
      <c r="J469" s="4">
        <v>4392</v>
      </c>
      <c r="K469" s="29" t="s">
        <v>549</v>
      </c>
    </row>
    <row r="470" spans="1:15" x14ac:dyDescent="0.3">
      <c r="A470" s="9">
        <v>8</v>
      </c>
      <c r="B470" s="30" t="s">
        <v>550</v>
      </c>
      <c r="C470" s="29" t="s">
        <v>26</v>
      </c>
      <c r="D470" s="9">
        <v>11000</v>
      </c>
      <c r="E470" s="28">
        <v>17000</v>
      </c>
      <c r="F470" s="3"/>
      <c r="G470" s="13">
        <f>+D470+E470-F470</f>
        <v>28000</v>
      </c>
      <c r="H470" s="9">
        <v>11000</v>
      </c>
      <c r="I470" s="3">
        <f>+G470-H470</f>
        <v>17000</v>
      </c>
      <c r="J470" s="4">
        <v>4392</v>
      </c>
      <c r="K470" s="27" t="s">
        <v>549</v>
      </c>
    </row>
    <row r="471" spans="1:15" x14ac:dyDescent="0.3">
      <c r="A471" s="9">
        <v>9</v>
      </c>
      <c r="B471" s="30" t="s">
        <v>551</v>
      </c>
      <c r="C471" s="27" t="s">
        <v>16</v>
      </c>
      <c r="D471" s="4">
        <v>0</v>
      </c>
      <c r="E471" s="28">
        <v>14500</v>
      </c>
      <c r="F471" s="4"/>
      <c r="G471" s="13">
        <f>+D471+E471-F471</f>
        <v>14500</v>
      </c>
      <c r="H471" s="4"/>
      <c r="I471" s="3">
        <f>+G471-H471</f>
        <v>14500</v>
      </c>
      <c r="J471" s="4">
        <v>4392</v>
      </c>
      <c r="K471" s="30" t="s">
        <v>110</v>
      </c>
    </row>
    <row r="472" spans="1:15" x14ac:dyDescent="0.3">
      <c r="A472" s="9">
        <v>10</v>
      </c>
      <c r="B472" s="30" t="s">
        <v>552</v>
      </c>
      <c r="C472" s="30" t="s">
        <v>47</v>
      </c>
      <c r="D472" s="10">
        <v>0</v>
      </c>
      <c r="E472" s="28">
        <v>14500</v>
      </c>
      <c r="F472" s="10"/>
      <c r="G472" s="13">
        <f>+D472+E472-F472</f>
        <v>14500</v>
      </c>
      <c r="H472" s="4"/>
      <c r="I472" s="3">
        <f>+G472-H472</f>
        <v>14500</v>
      </c>
      <c r="J472" s="4">
        <v>4392</v>
      </c>
      <c r="K472" s="30" t="s">
        <v>110</v>
      </c>
    </row>
    <row r="473" spans="1:15" x14ac:dyDescent="0.3">
      <c r="A473" s="9">
        <v>11</v>
      </c>
      <c r="B473" s="30" t="s">
        <v>553</v>
      </c>
      <c r="C473" s="27" t="s">
        <v>31</v>
      </c>
      <c r="D473" s="4">
        <v>500</v>
      </c>
      <c r="E473" s="28">
        <v>18000</v>
      </c>
      <c r="F473" s="4"/>
      <c r="G473" s="13">
        <f>+D473+E473-F473</f>
        <v>18500</v>
      </c>
      <c r="H473" s="4"/>
      <c r="I473" s="3">
        <f>+G473-H473</f>
        <v>18500</v>
      </c>
      <c r="J473" s="4">
        <v>4392</v>
      </c>
      <c r="K473" s="30" t="s">
        <v>547</v>
      </c>
    </row>
    <row r="474" spans="1:15" x14ac:dyDescent="0.3">
      <c r="A474" s="9">
        <v>12</v>
      </c>
      <c r="B474" s="30" t="s">
        <v>554</v>
      </c>
      <c r="C474" s="31" t="s">
        <v>31</v>
      </c>
      <c r="D474" s="32">
        <v>8250</v>
      </c>
      <c r="E474" s="28">
        <v>17500</v>
      </c>
      <c r="F474" s="32"/>
      <c r="G474" s="13">
        <f>+D474+E474-F474</f>
        <v>25750</v>
      </c>
      <c r="H474" s="32" t="s">
        <v>555</v>
      </c>
      <c r="I474" s="3">
        <f>+G474-H474</f>
        <v>17500</v>
      </c>
      <c r="J474" s="4">
        <v>4392</v>
      </c>
      <c r="K474" s="30" t="s">
        <v>538</v>
      </c>
      <c r="N474" s="11"/>
    </row>
    <row r="475" spans="1:15" x14ac:dyDescent="0.3">
      <c r="A475" s="9">
        <v>13</v>
      </c>
      <c r="B475" s="30" t="s">
        <v>556</v>
      </c>
      <c r="C475" s="30" t="s">
        <v>16</v>
      </c>
      <c r="D475" s="10">
        <v>8000</v>
      </c>
      <c r="E475" s="28">
        <v>17000</v>
      </c>
      <c r="F475" s="10"/>
      <c r="G475" s="13">
        <f>+D475+E475-F475</f>
        <v>25000</v>
      </c>
      <c r="H475" s="10">
        <v>8000</v>
      </c>
      <c r="I475" s="3">
        <f>+G475-H475</f>
        <v>17000</v>
      </c>
      <c r="J475" s="4">
        <v>4392</v>
      </c>
      <c r="K475" s="29" t="s">
        <v>549</v>
      </c>
      <c r="O475" s="6"/>
    </row>
    <row r="476" spans="1:15" x14ac:dyDescent="0.3">
      <c r="A476" s="9">
        <v>14</v>
      </c>
      <c r="B476" s="27" t="s">
        <v>557</v>
      </c>
      <c r="C476" s="27" t="s">
        <v>29</v>
      </c>
      <c r="D476" s="4">
        <v>0</v>
      </c>
      <c r="E476" s="28">
        <v>17500</v>
      </c>
      <c r="F476" s="4"/>
      <c r="G476" s="13">
        <f>+D476+E476-F476</f>
        <v>17500</v>
      </c>
      <c r="H476" s="4"/>
      <c r="I476" s="3">
        <f>+G476-H476</f>
        <v>17500</v>
      </c>
      <c r="J476" s="4">
        <v>4392</v>
      </c>
      <c r="K476" s="33" t="s">
        <v>538</v>
      </c>
      <c r="O476" s="6"/>
    </row>
    <row r="477" spans="1:15" x14ac:dyDescent="0.3">
      <c r="A477" s="9">
        <v>15</v>
      </c>
      <c r="B477" s="30" t="s">
        <v>558</v>
      </c>
      <c r="C477" s="30" t="s">
        <v>33</v>
      </c>
      <c r="D477" s="10">
        <v>9000</v>
      </c>
      <c r="E477" s="28">
        <v>17500</v>
      </c>
      <c r="F477" s="10"/>
      <c r="G477" s="13">
        <f>+D477+E477-F477</f>
        <v>26500</v>
      </c>
      <c r="H477" s="10">
        <v>9000</v>
      </c>
      <c r="I477" s="3">
        <f>+G477-H477</f>
        <v>17500</v>
      </c>
      <c r="J477" s="4">
        <v>4392</v>
      </c>
      <c r="K477" s="30" t="s">
        <v>538</v>
      </c>
      <c r="N477" s="7"/>
    </row>
    <row r="478" spans="1:15" x14ac:dyDescent="0.3">
      <c r="A478" s="9">
        <v>16</v>
      </c>
      <c r="B478" s="27" t="s">
        <v>559</v>
      </c>
      <c r="C478" s="27" t="s">
        <v>16</v>
      </c>
      <c r="D478" s="4">
        <v>0</v>
      </c>
      <c r="E478" s="28">
        <v>18000</v>
      </c>
      <c r="F478" s="4"/>
      <c r="G478" s="13">
        <f>+D478+E478-F478</f>
        <v>18000</v>
      </c>
      <c r="H478" s="4"/>
      <c r="I478" s="3">
        <f>+G478-H478</f>
        <v>18000</v>
      </c>
      <c r="J478" s="4">
        <v>4392</v>
      </c>
      <c r="K478" s="30" t="s">
        <v>547</v>
      </c>
    </row>
    <row r="479" spans="1:15" x14ac:dyDescent="0.3">
      <c r="A479" s="9">
        <v>17</v>
      </c>
      <c r="B479" s="27" t="s">
        <v>560</v>
      </c>
      <c r="C479" s="29" t="s">
        <v>16</v>
      </c>
      <c r="D479" s="9">
        <v>6500</v>
      </c>
      <c r="E479" s="28">
        <v>17500</v>
      </c>
      <c r="F479" s="3"/>
      <c r="G479" s="13">
        <f>+D479+E479-F479</f>
        <v>24000</v>
      </c>
      <c r="H479" s="9">
        <v>6500</v>
      </c>
      <c r="I479" s="3">
        <f>+G479-H479</f>
        <v>17500</v>
      </c>
      <c r="J479" s="4">
        <v>4392</v>
      </c>
      <c r="K479" s="29" t="s">
        <v>538</v>
      </c>
    </row>
    <row r="480" spans="1:15" x14ac:dyDescent="0.3">
      <c r="A480" s="9">
        <v>18</v>
      </c>
      <c r="B480" s="33" t="s">
        <v>561</v>
      </c>
      <c r="C480" s="27" t="s">
        <v>16</v>
      </c>
      <c r="D480" s="4">
        <v>8500</v>
      </c>
      <c r="E480" s="28">
        <v>18000</v>
      </c>
      <c r="F480" s="4"/>
      <c r="G480" s="13">
        <f>+D480+E480-F480</f>
        <v>26500</v>
      </c>
      <c r="H480" s="4">
        <v>8500</v>
      </c>
      <c r="I480" s="3">
        <f>+G480-H480</f>
        <v>18000</v>
      </c>
      <c r="J480" s="4">
        <v>4392</v>
      </c>
      <c r="K480" s="30" t="s">
        <v>547</v>
      </c>
    </row>
    <row r="481" spans="1:15" x14ac:dyDescent="0.3">
      <c r="A481" s="9">
        <v>19</v>
      </c>
      <c r="B481" s="27" t="s">
        <v>562</v>
      </c>
      <c r="C481" s="30" t="s">
        <v>47</v>
      </c>
      <c r="D481" s="10">
        <v>0</v>
      </c>
      <c r="E481" s="28">
        <v>20000</v>
      </c>
      <c r="F481" s="10"/>
      <c r="G481" s="13">
        <f>+D481+E481-F481</f>
        <v>20000</v>
      </c>
      <c r="H481" s="10"/>
      <c r="I481" s="3">
        <f>+G481-H481</f>
        <v>20000</v>
      </c>
      <c r="J481" s="4">
        <v>4392</v>
      </c>
      <c r="K481" s="29" t="s">
        <v>545</v>
      </c>
    </row>
    <row r="482" spans="1:15" x14ac:dyDescent="0.3">
      <c r="A482" s="9">
        <v>20</v>
      </c>
      <c r="B482" s="27" t="s">
        <v>563</v>
      </c>
      <c r="C482" s="29" t="s">
        <v>47</v>
      </c>
      <c r="D482" s="9">
        <v>0</v>
      </c>
      <c r="E482" s="28">
        <v>17500</v>
      </c>
      <c r="F482" s="3"/>
      <c r="G482" s="13">
        <f>+D482+E482-F482</f>
        <v>17500</v>
      </c>
      <c r="H482" s="9"/>
      <c r="I482" s="3">
        <f>+G482-H482</f>
        <v>17500</v>
      </c>
      <c r="J482" s="4">
        <v>4392</v>
      </c>
      <c r="K482" s="29" t="s">
        <v>538</v>
      </c>
      <c r="N482" s="6"/>
      <c r="O482" s="6"/>
    </row>
    <row r="483" spans="1:15" x14ac:dyDescent="0.3">
      <c r="A483" s="9">
        <v>21</v>
      </c>
      <c r="B483" s="33" t="s">
        <v>564</v>
      </c>
      <c r="C483" s="29" t="s">
        <v>31</v>
      </c>
      <c r="D483" s="9">
        <v>8000</v>
      </c>
      <c r="E483" s="28">
        <v>17000</v>
      </c>
      <c r="F483" s="3"/>
      <c r="G483" s="13">
        <f>+D483+E483-F483</f>
        <v>25000</v>
      </c>
      <c r="H483" s="9"/>
      <c r="I483" s="3">
        <f>+G483-H483</f>
        <v>25000</v>
      </c>
      <c r="J483" s="4">
        <v>4392</v>
      </c>
      <c r="K483" s="27" t="s">
        <v>549</v>
      </c>
      <c r="N483" s="6"/>
      <c r="O483" s="6"/>
    </row>
    <row r="484" spans="1:15" x14ac:dyDescent="0.3">
      <c r="A484" s="9">
        <v>22</v>
      </c>
      <c r="B484" s="27" t="s">
        <v>565</v>
      </c>
      <c r="C484" s="29" t="s">
        <v>16</v>
      </c>
      <c r="D484" s="9">
        <v>0</v>
      </c>
      <c r="E484" s="28">
        <v>17500</v>
      </c>
      <c r="F484" s="3"/>
      <c r="G484" s="13">
        <f>+D484+E484-F484</f>
        <v>17500</v>
      </c>
      <c r="H484" s="9"/>
      <c r="I484" s="3">
        <f>+G484-H484</f>
        <v>17500</v>
      </c>
      <c r="J484" s="4">
        <v>4392</v>
      </c>
      <c r="K484" s="29" t="s">
        <v>538</v>
      </c>
      <c r="N484" s="6"/>
      <c r="O484" s="6"/>
    </row>
    <row r="485" spans="1:15" x14ac:dyDescent="0.3">
      <c r="A485" s="9">
        <v>23</v>
      </c>
      <c r="B485" s="27" t="s">
        <v>566</v>
      </c>
      <c r="C485" s="27" t="s">
        <v>16</v>
      </c>
      <c r="D485" s="4">
        <v>0</v>
      </c>
      <c r="E485" s="28">
        <v>18000</v>
      </c>
      <c r="F485" s="4"/>
      <c r="G485" s="13">
        <f>+D485+E485-F485</f>
        <v>18000</v>
      </c>
      <c r="H485" s="10"/>
      <c r="I485" s="3">
        <f>+G485-H485</f>
        <v>18000</v>
      </c>
      <c r="J485" s="4">
        <v>4392</v>
      </c>
      <c r="K485" s="27" t="s">
        <v>547</v>
      </c>
      <c r="N485" s="6"/>
      <c r="O485" s="6"/>
    </row>
    <row r="486" spans="1:15" x14ac:dyDescent="0.3">
      <c r="A486" s="9">
        <v>24</v>
      </c>
      <c r="B486" s="27" t="s">
        <v>567</v>
      </c>
      <c r="C486" s="29" t="s">
        <v>31</v>
      </c>
      <c r="D486" s="9">
        <v>16000</v>
      </c>
      <c r="E486" s="28">
        <v>20000</v>
      </c>
      <c r="F486" s="3"/>
      <c r="G486" s="13">
        <f>+D486+E486-F486</f>
        <v>36000</v>
      </c>
      <c r="H486" s="9"/>
      <c r="I486" s="3">
        <f>+G486-H486</f>
        <v>36000</v>
      </c>
      <c r="J486" s="4">
        <v>4392</v>
      </c>
      <c r="K486" s="29" t="s">
        <v>545</v>
      </c>
      <c r="N486" s="6"/>
      <c r="O486" s="6"/>
    </row>
    <row r="487" spans="1:15" x14ac:dyDescent="0.3">
      <c r="A487" s="9">
        <v>25</v>
      </c>
      <c r="B487" s="30" t="s">
        <v>568</v>
      </c>
      <c r="C487" s="30" t="s">
        <v>29</v>
      </c>
      <c r="D487" s="10">
        <v>9000</v>
      </c>
      <c r="E487" s="28">
        <v>20000</v>
      </c>
      <c r="F487" s="10"/>
      <c r="G487" s="13">
        <f>+D487+E487-F487</f>
        <v>29000</v>
      </c>
      <c r="H487" s="10">
        <v>9000</v>
      </c>
      <c r="I487" s="3">
        <f>+G487-H487</f>
        <v>20000</v>
      </c>
      <c r="J487" s="4">
        <v>4392</v>
      </c>
      <c r="K487" s="27" t="s">
        <v>569</v>
      </c>
      <c r="N487" s="6"/>
      <c r="O487" s="6"/>
    </row>
    <row r="488" spans="1:15" x14ac:dyDescent="0.3">
      <c r="A488" s="9">
        <v>26</v>
      </c>
      <c r="B488" s="27" t="s">
        <v>570</v>
      </c>
      <c r="C488" s="30" t="s">
        <v>47</v>
      </c>
      <c r="D488" s="10">
        <v>0</v>
      </c>
      <c r="E488" s="28">
        <v>18000</v>
      </c>
      <c r="F488" s="10"/>
      <c r="G488" s="13">
        <f>+D488+E488-F488</f>
        <v>18000</v>
      </c>
      <c r="H488" s="10"/>
      <c r="I488" s="3">
        <f>+G488-H488</f>
        <v>18000</v>
      </c>
      <c r="J488" s="4">
        <v>4392</v>
      </c>
      <c r="K488" s="27" t="s">
        <v>547</v>
      </c>
      <c r="N488" s="6"/>
      <c r="O488" s="6"/>
    </row>
    <row r="489" spans="1:15" x14ac:dyDescent="0.3">
      <c r="A489" s="9">
        <v>27</v>
      </c>
      <c r="B489" s="30" t="s">
        <v>571</v>
      </c>
      <c r="C489" s="30" t="s">
        <v>19</v>
      </c>
      <c r="D489" s="10">
        <v>0</v>
      </c>
      <c r="E489" s="28">
        <v>20000</v>
      </c>
      <c r="F489" s="10"/>
      <c r="G489" s="13">
        <f>+D489+E489-F489</f>
        <v>20000</v>
      </c>
      <c r="H489" s="10"/>
      <c r="I489" s="3">
        <f>+G489-H489</f>
        <v>20000</v>
      </c>
      <c r="J489" s="4">
        <v>4392</v>
      </c>
      <c r="K489" s="27" t="s">
        <v>569</v>
      </c>
      <c r="N489" s="6"/>
      <c r="O489" s="6"/>
    </row>
    <row r="490" spans="1:15" x14ac:dyDescent="0.3">
      <c r="A490" s="9">
        <v>28</v>
      </c>
      <c r="B490" s="30" t="s">
        <v>572</v>
      </c>
      <c r="C490" s="30" t="s">
        <v>33</v>
      </c>
      <c r="D490" s="10">
        <v>9500</v>
      </c>
      <c r="E490" s="28">
        <v>20000</v>
      </c>
      <c r="F490" s="10"/>
      <c r="G490" s="13">
        <f>+D490+E490-F490</f>
        <v>29500</v>
      </c>
      <c r="H490" s="10">
        <v>9500</v>
      </c>
      <c r="I490" s="3">
        <f>+G490-H490</f>
        <v>20000</v>
      </c>
      <c r="J490" s="4">
        <v>4392</v>
      </c>
      <c r="K490" s="27" t="s">
        <v>569</v>
      </c>
      <c r="N490" s="6"/>
      <c r="O490" s="6"/>
    </row>
    <row r="491" spans="1:15" x14ac:dyDescent="0.3">
      <c r="A491" s="9">
        <v>29</v>
      </c>
      <c r="B491" s="30" t="s">
        <v>573</v>
      </c>
      <c r="C491" s="30" t="s">
        <v>16</v>
      </c>
      <c r="D491" s="10">
        <v>0</v>
      </c>
      <c r="E491" s="28">
        <v>17000</v>
      </c>
      <c r="F491" s="10"/>
      <c r="G491" s="13">
        <f>+D491+E491-F491</f>
        <v>17000</v>
      </c>
      <c r="H491" s="10"/>
      <c r="I491" s="3">
        <f>+G491-H491</f>
        <v>17000</v>
      </c>
      <c r="J491" s="4">
        <v>4392</v>
      </c>
      <c r="K491" s="29" t="s">
        <v>549</v>
      </c>
      <c r="N491" s="25"/>
      <c r="O491" s="25"/>
    </row>
    <row r="492" spans="1:15" x14ac:dyDescent="0.3">
      <c r="A492" s="9">
        <v>30</v>
      </c>
      <c r="B492" s="30" t="s">
        <v>574</v>
      </c>
      <c r="C492" s="27" t="s">
        <v>21</v>
      </c>
      <c r="D492" s="4">
        <v>0</v>
      </c>
      <c r="E492" s="28">
        <v>18000</v>
      </c>
      <c r="F492" s="4"/>
      <c r="G492" s="13">
        <f>+D492+E492-F492</f>
        <v>18000</v>
      </c>
      <c r="H492" s="4"/>
      <c r="I492" s="3">
        <f>+G492-H492</f>
        <v>18000</v>
      </c>
      <c r="J492" s="4">
        <v>4392</v>
      </c>
      <c r="K492" s="30" t="s">
        <v>547</v>
      </c>
      <c r="N492" s="6"/>
      <c r="O492" s="6"/>
    </row>
    <row r="493" spans="1:15" x14ac:dyDescent="0.3">
      <c r="A493" s="9">
        <v>31</v>
      </c>
      <c r="B493" s="27" t="s">
        <v>575</v>
      </c>
      <c r="C493" s="27" t="s">
        <v>31</v>
      </c>
      <c r="D493" s="4">
        <v>8250</v>
      </c>
      <c r="E493" s="28">
        <v>17500</v>
      </c>
      <c r="F493" s="4"/>
      <c r="G493" s="13">
        <f>+D493+E493-F493</f>
        <v>25750</v>
      </c>
      <c r="H493" s="4">
        <v>8250</v>
      </c>
      <c r="I493" s="3">
        <f>+G493-H493</f>
        <v>17500</v>
      </c>
      <c r="J493" s="4">
        <v>4392</v>
      </c>
      <c r="K493" s="29" t="s">
        <v>538</v>
      </c>
    </row>
    <row r="494" spans="1:15" x14ac:dyDescent="0.3">
      <c r="A494" s="9">
        <v>32</v>
      </c>
      <c r="B494" s="30" t="s">
        <v>576</v>
      </c>
      <c r="C494" s="27" t="s">
        <v>21</v>
      </c>
      <c r="D494" s="4">
        <v>0</v>
      </c>
      <c r="E494" s="28">
        <v>20000</v>
      </c>
      <c r="F494" s="4"/>
      <c r="G494" s="13">
        <f>+D494+E494-F494</f>
        <v>20000</v>
      </c>
      <c r="H494" s="4"/>
      <c r="I494" s="3">
        <f>+G494-H494</f>
        <v>20000</v>
      </c>
      <c r="J494" s="4">
        <v>4392</v>
      </c>
      <c r="K494" s="30" t="s">
        <v>545</v>
      </c>
    </row>
    <row r="495" spans="1:15" x14ac:dyDescent="0.3">
      <c r="A495" s="9">
        <v>33</v>
      </c>
      <c r="B495" s="27" t="s">
        <v>577</v>
      </c>
      <c r="C495" s="27" t="s">
        <v>29</v>
      </c>
      <c r="D495" s="4">
        <v>0</v>
      </c>
      <c r="E495" s="28">
        <v>18000</v>
      </c>
      <c r="F495" s="4"/>
      <c r="G495" s="13">
        <f>+D495+E495-F495</f>
        <v>18000</v>
      </c>
      <c r="H495" s="4"/>
      <c r="I495" s="3">
        <f>+G495-H495</f>
        <v>18000</v>
      </c>
      <c r="J495" s="4">
        <v>4392</v>
      </c>
      <c r="K495" s="27" t="s">
        <v>547</v>
      </c>
    </row>
    <row r="496" spans="1:15" x14ac:dyDescent="0.3">
      <c r="A496" s="9">
        <v>34</v>
      </c>
      <c r="B496" s="30" t="s">
        <v>578</v>
      </c>
      <c r="C496" s="27" t="s">
        <v>31</v>
      </c>
      <c r="D496" s="4">
        <v>0</v>
      </c>
      <c r="E496" s="28">
        <v>20000</v>
      </c>
      <c r="F496" s="4"/>
      <c r="G496" s="13">
        <f>+D496+E496-F496</f>
        <v>20000</v>
      </c>
      <c r="H496" s="4"/>
      <c r="I496" s="3">
        <f>+G496-H496</f>
        <v>20000</v>
      </c>
      <c r="J496" s="4">
        <v>4392</v>
      </c>
      <c r="K496" s="30" t="s">
        <v>545</v>
      </c>
    </row>
    <row r="497" spans="1:11" x14ac:dyDescent="0.3">
      <c r="A497" s="9">
        <v>35</v>
      </c>
      <c r="B497" s="30" t="s">
        <v>579</v>
      </c>
      <c r="C497" s="27" t="s">
        <v>26</v>
      </c>
      <c r="D497" s="4">
        <v>0</v>
      </c>
      <c r="E497" s="28">
        <v>20000</v>
      </c>
      <c r="F497" s="4"/>
      <c r="G497" s="13">
        <f>+D497+E497-F497</f>
        <v>20000</v>
      </c>
      <c r="H497" s="4"/>
      <c r="I497" s="3">
        <f>+G497-H497</f>
        <v>20000</v>
      </c>
      <c r="J497" s="4">
        <v>4392</v>
      </c>
      <c r="K497" s="38" t="s">
        <v>569</v>
      </c>
    </row>
    <row r="498" spans="1:11" x14ac:dyDescent="0.3">
      <c r="A498" s="9">
        <v>36</v>
      </c>
      <c r="B498" s="30" t="s">
        <v>580</v>
      </c>
      <c r="C498" s="31" t="s">
        <v>31</v>
      </c>
      <c r="D498" s="32">
        <v>8500</v>
      </c>
      <c r="E498" s="28">
        <v>18000</v>
      </c>
      <c r="F498" s="32"/>
      <c r="G498" s="13">
        <f>+D498+E498-F498</f>
        <v>26500</v>
      </c>
      <c r="H498" s="32" t="s">
        <v>581</v>
      </c>
      <c r="I498" s="3">
        <f>+G498-H498</f>
        <v>18000</v>
      </c>
      <c r="J498" s="4">
        <v>4392</v>
      </c>
      <c r="K498" s="30" t="s">
        <v>547</v>
      </c>
    </row>
    <row r="499" spans="1:11" x14ac:dyDescent="0.3">
      <c r="A499" s="9">
        <v>37</v>
      </c>
      <c r="B499" s="30" t="s">
        <v>582</v>
      </c>
      <c r="C499" s="38" t="s">
        <v>24</v>
      </c>
      <c r="D499" s="9">
        <v>11000</v>
      </c>
      <c r="E499" s="28">
        <v>17000</v>
      </c>
      <c r="F499" s="3"/>
      <c r="G499" s="13">
        <f>+D499+E499-F499</f>
        <v>28000</v>
      </c>
      <c r="H499" s="9">
        <f>10500+500</f>
        <v>11000</v>
      </c>
      <c r="I499" s="3">
        <f>+G499-H499</f>
        <v>17000</v>
      </c>
      <c r="J499" s="4">
        <v>4392</v>
      </c>
      <c r="K499" s="27" t="s">
        <v>549</v>
      </c>
    </row>
    <row r="500" spans="1:11" x14ac:dyDescent="0.3">
      <c r="A500" s="9">
        <v>38</v>
      </c>
      <c r="B500" s="30" t="s">
        <v>583</v>
      </c>
      <c r="C500" s="29" t="s">
        <v>29</v>
      </c>
      <c r="D500" s="9">
        <v>11000</v>
      </c>
      <c r="E500" s="28">
        <v>17000</v>
      </c>
      <c r="F500" s="3"/>
      <c r="G500" s="13">
        <f>+D500+E500-F500</f>
        <v>28000</v>
      </c>
      <c r="H500" s="9"/>
      <c r="I500" s="3">
        <f>+G500-H500</f>
        <v>28000</v>
      </c>
      <c r="J500" s="4">
        <v>4392</v>
      </c>
      <c r="K500" s="27" t="s">
        <v>549</v>
      </c>
    </row>
    <row r="501" spans="1:11" x14ac:dyDescent="0.3">
      <c r="A501" s="9">
        <v>39</v>
      </c>
      <c r="B501" s="27" t="s">
        <v>584</v>
      </c>
      <c r="C501" s="29" t="s">
        <v>16</v>
      </c>
      <c r="D501" s="9">
        <v>7000</v>
      </c>
      <c r="E501" s="28">
        <v>17000</v>
      </c>
      <c r="F501" s="3"/>
      <c r="G501" s="13">
        <f>+D501+E501-F501</f>
        <v>24000</v>
      </c>
      <c r="H501" s="9">
        <v>7000</v>
      </c>
      <c r="I501" s="3">
        <f>+G501-H501</f>
        <v>17000</v>
      </c>
      <c r="J501" s="4">
        <v>4392</v>
      </c>
      <c r="K501" s="27" t="s">
        <v>549</v>
      </c>
    </row>
    <row r="502" spans="1:11" x14ac:dyDescent="0.3">
      <c r="A502" s="9">
        <v>40</v>
      </c>
      <c r="B502" s="30" t="s">
        <v>585</v>
      </c>
      <c r="C502" s="30" t="s">
        <v>33</v>
      </c>
      <c r="D502" s="10">
        <v>8000</v>
      </c>
      <c r="E502" s="28">
        <v>17500</v>
      </c>
      <c r="F502" s="10"/>
      <c r="G502" s="13">
        <f>+D502+E502-F502</f>
        <v>25500</v>
      </c>
      <c r="H502" s="10">
        <v>8000</v>
      </c>
      <c r="I502" s="3">
        <f>+G502-H502</f>
        <v>17500</v>
      </c>
      <c r="J502" s="4">
        <v>4392</v>
      </c>
      <c r="K502" s="30" t="s">
        <v>538</v>
      </c>
    </row>
    <row r="503" spans="1:11" x14ac:dyDescent="0.3">
      <c r="A503" s="35"/>
      <c r="B503" s="35"/>
      <c r="C503" s="35"/>
      <c r="D503" s="37">
        <f t="shared" ref="D503:I503" si="10">SUM(D463:D502)</f>
        <v>173250</v>
      </c>
      <c r="E503" s="37">
        <f t="shared" si="10"/>
        <v>717500</v>
      </c>
      <c r="F503" s="37">
        <f t="shared" si="10"/>
        <v>0</v>
      </c>
      <c r="G503" s="37">
        <f t="shared" si="10"/>
        <v>890750</v>
      </c>
      <c r="H503" s="37">
        <f t="shared" si="10"/>
        <v>112000</v>
      </c>
      <c r="I503" s="37">
        <f t="shared" si="10"/>
        <v>755500</v>
      </c>
      <c r="J503" s="35"/>
      <c r="K503" s="35"/>
    </row>
    <row r="504" spans="1:11" x14ac:dyDescent="0.3">
      <c r="A504" s="52" t="s">
        <v>0</v>
      </c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spans="1:11" ht="17.25" customHeight="1" x14ac:dyDescent="0.3">
      <c r="A505" s="53" t="s">
        <v>1</v>
      </c>
      <c r="B505" s="53"/>
      <c r="C505" s="53"/>
      <c r="D505" s="53"/>
      <c r="E505" s="53"/>
      <c r="F505" s="53"/>
      <c r="G505" s="53"/>
      <c r="H505" s="53"/>
      <c r="I505" s="53"/>
      <c r="J505" s="53"/>
      <c r="K505" s="53"/>
    </row>
    <row r="506" spans="1:11" ht="17.25" customHeight="1" x14ac:dyDescent="0.3">
      <c r="A506" s="52" t="s">
        <v>685</v>
      </c>
      <c r="B506" s="52"/>
      <c r="C506" s="52"/>
      <c r="D506" s="52"/>
      <c r="E506" s="52"/>
      <c r="F506" s="52"/>
      <c r="G506" s="52"/>
      <c r="H506" s="52"/>
      <c r="I506" s="52"/>
      <c r="J506" s="52"/>
      <c r="K506" s="52"/>
    </row>
    <row r="507" spans="1:11" ht="40.5" customHeight="1" x14ac:dyDescent="0.3">
      <c r="A507" s="3" t="s">
        <v>3</v>
      </c>
      <c r="B507" s="3" t="s">
        <v>4</v>
      </c>
      <c r="C507" s="12" t="s">
        <v>5</v>
      </c>
      <c r="D507" s="3" t="s">
        <v>6</v>
      </c>
      <c r="E507" s="3" t="s">
        <v>7</v>
      </c>
      <c r="F507" s="3" t="s">
        <v>8</v>
      </c>
      <c r="G507" s="3" t="s">
        <v>9</v>
      </c>
      <c r="H507" s="3" t="s">
        <v>10</v>
      </c>
      <c r="I507" s="3" t="s">
        <v>11</v>
      </c>
      <c r="J507" s="3" t="s">
        <v>12</v>
      </c>
      <c r="K507" s="3" t="s">
        <v>13</v>
      </c>
    </row>
    <row r="508" spans="1:11" x14ac:dyDescent="0.3">
      <c r="A508" s="4">
        <v>1</v>
      </c>
      <c r="B508" s="14" t="s">
        <v>621</v>
      </c>
      <c r="C508" s="14" t="s">
        <v>594</v>
      </c>
      <c r="D508" s="28">
        <v>16000</v>
      </c>
      <c r="E508" s="28">
        <v>0</v>
      </c>
      <c r="F508" s="28"/>
      <c r="G508" s="13">
        <f>+D508+E508-F508</f>
        <v>16000</v>
      </c>
      <c r="H508" s="28"/>
      <c r="I508" s="3">
        <f>+G508-H508</f>
        <v>16000</v>
      </c>
      <c r="J508" s="4">
        <v>4390</v>
      </c>
      <c r="K508" s="29" t="s">
        <v>458</v>
      </c>
    </row>
    <row r="509" spans="1:11" x14ac:dyDescent="0.3">
      <c r="A509" s="4">
        <v>2</v>
      </c>
      <c r="B509" s="27" t="s">
        <v>686</v>
      </c>
      <c r="C509" s="14" t="s">
        <v>594</v>
      </c>
      <c r="D509" s="9">
        <v>6000</v>
      </c>
      <c r="E509" s="9">
        <v>0</v>
      </c>
      <c r="F509" s="3"/>
      <c r="G509" s="13">
        <f>+D509+E509-F509</f>
        <v>6000</v>
      </c>
      <c r="H509" s="3"/>
      <c r="I509" s="3">
        <f>+G509-H509</f>
        <v>6000</v>
      </c>
      <c r="J509" s="4">
        <v>4390</v>
      </c>
      <c r="K509" s="29" t="s">
        <v>613</v>
      </c>
    </row>
    <row r="510" spans="1:11" x14ac:dyDescent="0.3">
      <c r="A510" s="4">
        <v>3</v>
      </c>
      <c r="B510" s="27" t="s">
        <v>691</v>
      </c>
      <c r="C510" s="14" t="s">
        <v>594</v>
      </c>
      <c r="D510" s="9">
        <v>6000</v>
      </c>
      <c r="E510" s="9">
        <v>0</v>
      </c>
      <c r="F510" s="3"/>
      <c r="G510" s="13">
        <f>+D510+E510-F510</f>
        <v>6000</v>
      </c>
      <c r="H510" s="3"/>
      <c r="I510" s="3">
        <f>+G510-H510</f>
        <v>6000</v>
      </c>
      <c r="J510" s="4">
        <v>426</v>
      </c>
      <c r="K510" s="29" t="s">
        <v>170</v>
      </c>
    </row>
    <row r="511" spans="1:11" x14ac:dyDescent="0.3">
      <c r="A511" s="4">
        <v>4</v>
      </c>
      <c r="B511" s="14" t="s">
        <v>623</v>
      </c>
      <c r="C511" s="14" t="s">
        <v>594</v>
      </c>
      <c r="D511" s="28">
        <v>59000</v>
      </c>
      <c r="E511" s="28">
        <v>0</v>
      </c>
      <c r="F511" s="28"/>
      <c r="G511" s="13">
        <f>+D511+E511-F511</f>
        <v>59000</v>
      </c>
      <c r="H511" s="28"/>
      <c r="I511" s="3">
        <f>+G511-H511</f>
        <v>59000</v>
      </c>
      <c r="J511" s="4">
        <v>4390</v>
      </c>
      <c r="K511" s="27" t="s">
        <v>624</v>
      </c>
    </row>
    <row r="512" spans="1:11" x14ac:dyDescent="0.3">
      <c r="A512" s="4">
        <v>5</v>
      </c>
      <c r="B512" s="27" t="s">
        <v>690</v>
      </c>
      <c r="C512" s="14" t="s">
        <v>594</v>
      </c>
      <c r="D512" s="9">
        <v>3000</v>
      </c>
      <c r="E512" s="9">
        <v>0</v>
      </c>
      <c r="F512" s="3"/>
      <c r="G512" s="13">
        <f>+D512+E512-F512</f>
        <v>3000</v>
      </c>
      <c r="H512" s="3"/>
      <c r="I512" s="3">
        <f>+G512-H512</f>
        <v>3000</v>
      </c>
      <c r="J512" s="4">
        <v>426</v>
      </c>
      <c r="K512" s="29" t="s">
        <v>149</v>
      </c>
    </row>
    <row r="513" spans="1:13" x14ac:dyDescent="0.3">
      <c r="A513" s="4">
        <v>6</v>
      </c>
      <c r="B513" s="14" t="s">
        <v>628</v>
      </c>
      <c r="C513" s="14" t="s">
        <v>594</v>
      </c>
      <c r="D513" s="28">
        <v>12400</v>
      </c>
      <c r="E513" s="28">
        <v>0</v>
      </c>
      <c r="F513" s="28"/>
      <c r="G513" s="13">
        <f>+D513+E513-F513</f>
        <v>12400</v>
      </c>
      <c r="H513" s="28"/>
      <c r="I513" s="3">
        <f>+G513-H513</f>
        <v>12400</v>
      </c>
      <c r="J513" s="4">
        <v>142</v>
      </c>
      <c r="K513" s="38" t="s">
        <v>324</v>
      </c>
    </row>
    <row r="514" spans="1:13" x14ac:dyDescent="0.3">
      <c r="A514" s="4">
        <v>7</v>
      </c>
      <c r="B514" s="14" t="s">
        <v>626</v>
      </c>
      <c r="C514" s="14" t="s">
        <v>594</v>
      </c>
      <c r="D514" s="28">
        <v>13000</v>
      </c>
      <c r="E514" s="28">
        <v>0</v>
      </c>
      <c r="F514" s="28"/>
      <c r="G514" s="13">
        <f>+D514+E514-F514</f>
        <v>13000</v>
      </c>
      <c r="H514" s="28"/>
      <c r="I514" s="3">
        <f>+G514-H514</f>
        <v>13000</v>
      </c>
      <c r="J514" s="4">
        <v>426</v>
      </c>
      <c r="K514" s="38" t="s">
        <v>36</v>
      </c>
    </row>
    <row r="515" spans="1:13" x14ac:dyDescent="0.3">
      <c r="A515" s="4">
        <v>8</v>
      </c>
      <c r="B515" s="14" t="s">
        <v>629</v>
      </c>
      <c r="C515" s="14" t="s">
        <v>594</v>
      </c>
      <c r="D515" s="28">
        <v>5850</v>
      </c>
      <c r="E515" s="28">
        <v>0</v>
      </c>
      <c r="F515" s="28"/>
      <c r="G515" s="13">
        <f>+D515+E515-F515</f>
        <v>5850</v>
      </c>
      <c r="H515" s="28"/>
      <c r="I515" s="3">
        <f>+G515-H515</f>
        <v>5850</v>
      </c>
      <c r="J515" s="4">
        <v>4388</v>
      </c>
      <c r="K515" s="38" t="s">
        <v>356</v>
      </c>
      <c r="M515" s="5"/>
    </row>
    <row r="516" spans="1:13" x14ac:dyDescent="0.3">
      <c r="A516" s="4">
        <v>9</v>
      </c>
      <c r="B516" s="27" t="s">
        <v>688</v>
      </c>
      <c r="C516" s="14" t="s">
        <v>594</v>
      </c>
      <c r="D516" s="9">
        <v>8000</v>
      </c>
      <c r="E516" s="9">
        <v>0</v>
      </c>
      <c r="F516" s="3"/>
      <c r="G516" s="13">
        <f>+D516+E516-F516</f>
        <v>8000</v>
      </c>
      <c r="H516" s="3"/>
      <c r="I516" s="3">
        <f>+G516-H516</f>
        <v>8000</v>
      </c>
      <c r="J516" s="4">
        <v>4388</v>
      </c>
      <c r="K516" s="29" t="s">
        <v>356</v>
      </c>
      <c r="M516" s="5"/>
    </row>
    <row r="517" spans="1:13" x14ac:dyDescent="0.3">
      <c r="A517" s="4">
        <v>10</v>
      </c>
      <c r="B517" s="14" t="s">
        <v>627</v>
      </c>
      <c r="C517" s="14" t="s">
        <v>594</v>
      </c>
      <c r="D517" s="28">
        <v>13200</v>
      </c>
      <c r="E517" s="28">
        <v>0</v>
      </c>
      <c r="F517" s="28"/>
      <c r="G517" s="13">
        <f>+D517+E517-F517</f>
        <v>13200</v>
      </c>
      <c r="H517" s="28"/>
      <c r="I517" s="3">
        <f>+G517-H517</f>
        <v>13200</v>
      </c>
      <c r="J517" s="4">
        <v>426</v>
      </c>
      <c r="K517" s="38" t="s">
        <v>36</v>
      </c>
      <c r="M517" s="5"/>
    </row>
    <row r="518" spans="1:13" x14ac:dyDescent="0.3">
      <c r="A518" s="4">
        <v>11</v>
      </c>
      <c r="B518" s="27" t="s">
        <v>687</v>
      </c>
      <c r="C518" s="14" t="s">
        <v>594</v>
      </c>
      <c r="D518" s="9">
        <v>1000</v>
      </c>
      <c r="E518" s="9">
        <v>0</v>
      </c>
      <c r="F518" s="3"/>
      <c r="G518" s="13">
        <f>+D518+E518-F518</f>
        <v>1000</v>
      </c>
      <c r="H518" s="9">
        <v>1000</v>
      </c>
      <c r="I518" s="3">
        <f>+G518-H518</f>
        <v>0</v>
      </c>
      <c r="J518" s="10">
        <v>4390</v>
      </c>
      <c r="K518" s="27" t="s">
        <v>617</v>
      </c>
      <c r="M518" s="5"/>
    </row>
    <row r="519" spans="1:13" x14ac:dyDescent="0.3">
      <c r="A519" s="4">
        <v>12</v>
      </c>
      <c r="B519" s="27" t="s">
        <v>689</v>
      </c>
      <c r="C519" s="14" t="s">
        <v>594</v>
      </c>
      <c r="D519" s="9">
        <v>32000</v>
      </c>
      <c r="E519" s="9">
        <v>0</v>
      </c>
      <c r="F519" s="9"/>
      <c r="G519" s="13">
        <f>+D519+E519-F519</f>
        <v>32000</v>
      </c>
      <c r="H519" s="9"/>
      <c r="I519" s="3">
        <f>+G519-H519</f>
        <v>32000</v>
      </c>
      <c r="J519" s="4">
        <v>83</v>
      </c>
      <c r="K519" s="29" t="s">
        <v>85</v>
      </c>
      <c r="M519" s="5"/>
    </row>
    <row r="520" spans="1:13" x14ac:dyDescent="0.3">
      <c r="A520" s="4">
        <v>13</v>
      </c>
      <c r="B520" s="14" t="s">
        <v>625</v>
      </c>
      <c r="C520" s="14" t="s">
        <v>594</v>
      </c>
      <c r="D520" s="28">
        <v>3000</v>
      </c>
      <c r="E520" s="28">
        <v>0</v>
      </c>
      <c r="F520" s="28"/>
      <c r="G520" s="13">
        <f>+D520+E520-F520</f>
        <v>3000</v>
      </c>
      <c r="H520" s="28"/>
      <c r="I520" s="3">
        <f>+G520-H520</f>
        <v>3000</v>
      </c>
      <c r="J520" s="10">
        <v>83</v>
      </c>
      <c r="K520" s="38" t="s">
        <v>350</v>
      </c>
      <c r="M520" s="5"/>
    </row>
    <row r="521" spans="1:13" x14ac:dyDescent="0.3">
      <c r="A521" s="4">
        <v>14</v>
      </c>
      <c r="B521" s="27" t="s">
        <v>593</v>
      </c>
      <c r="C521" s="14" t="s">
        <v>594</v>
      </c>
      <c r="D521" s="9">
        <v>20000</v>
      </c>
      <c r="E521" s="9">
        <v>0</v>
      </c>
      <c r="F521" s="3"/>
      <c r="G521" s="13">
        <f>+D521+E521-F521</f>
        <v>20000</v>
      </c>
      <c r="H521" s="3"/>
      <c r="I521" s="3">
        <f>+G521-H521</f>
        <v>20000</v>
      </c>
      <c r="J521" s="4">
        <v>4391</v>
      </c>
      <c r="K521" s="29" t="s">
        <v>511</v>
      </c>
      <c r="M521" s="5"/>
    </row>
    <row r="522" spans="1:13" x14ac:dyDescent="0.3">
      <c r="A522" s="4">
        <v>15</v>
      </c>
      <c r="B522" s="27" t="s">
        <v>595</v>
      </c>
      <c r="C522" s="14" t="s">
        <v>594</v>
      </c>
      <c r="D522" s="9">
        <v>2000</v>
      </c>
      <c r="E522" s="9">
        <v>0</v>
      </c>
      <c r="F522" s="3"/>
      <c r="G522" s="13">
        <f>+D522+E522-F522</f>
        <v>2000</v>
      </c>
      <c r="H522" s="9">
        <v>2000</v>
      </c>
      <c r="I522" s="3">
        <f>+G522-H522</f>
        <v>0</v>
      </c>
      <c r="J522" s="4">
        <v>699</v>
      </c>
      <c r="K522" s="29" t="s">
        <v>222</v>
      </c>
      <c r="M522" s="5"/>
    </row>
    <row r="523" spans="1:13" x14ac:dyDescent="0.3">
      <c r="A523" s="4">
        <v>16</v>
      </c>
      <c r="B523" s="14" t="s">
        <v>694</v>
      </c>
      <c r="C523" s="14" t="s">
        <v>587</v>
      </c>
      <c r="D523" s="28">
        <v>5300</v>
      </c>
      <c r="E523" s="28">
        <v>0</v>
      </c>
      <c r="F523" s="28"/>
      <c r="G523" s="13">
        <f>+D523+E523-F523</f>
        <v>5300</v>
      </c>
      <c r="H523" s="28"/>
      <c r="I523" s="3">
        <f>+G523-H523</f>
        <v>5300</v>
      </c>
      <c r="J523" s="10">
        <v>699</v>
      </c>
      <c r="K523" s="38" t="s">
        <v>259</v>
      </c>
      <c r="M523" s="5"/>
    </row>
    <row r="524" spans="1:13" x14ac:dyDescent="0.3">
      <c r="A524" s="4">
        <v>17</v>
      </c>
      <c r="B524" s="27" t="s">
        <v>588</v>
      </c>
      <c r="C524" s="38" t="s">
        <v>587</v>
      </c>
      <c r="D524" s="4">
        <v>0</v>
      </c>
      <c r="E524" s="9">
        <v>0</v>
      </c>
      <c r="F524" s="4"/>
      <c r="G524" s="13">
        <f>+D524+E524-F524</f>
        <v>0</v>
      </c>
      <c r="H524" s="4"/>
      <c r="I524" s="3">
        <f>+G524-H524</f>
        <v>0</v>
      </c>
      <c r="J524" s="10">
        <v>4390</v>
      </c>
      <c r="K524" s="33" t="s">
        <v>589</v>
      </c>
      <c r="M524" s="5"/>
    </row>
    <row r="525" spans="1:13" x14ac:dyDescent="0.3">
      <c r="A525" s="4">
        <v>18</v>
      </c>
      <c r="B525" s="14" t="s">
        <v>653</v>
      </c>
      <c r="C525" s="14" t="s">
        <v>587</v>
      </c>
      <c r="D525" s="28">
        <v>4000</v>
      </c>
      <c r="E525" s="28">
        <v>0</v>
      </c>
      <c r="F525" s="28"/>
      <c r="G525" s="13">
        <f>+D525+E525-F525</f>
        <v>4000</v>
      </c>
      <c r="H525" s="28"/>
      <c r="I525" s="3">
        <f>+G525-H525</f>
        <v>4000</v>
      </c>
      <c r="J525" s="10">
        <v>82</v>
      </c>
      <c r="K525" s="30" t="s">
        <v>59</v>
      </c>
      <c r="M525" s="5"/>
    </row>
    <row r="526" spans="1:13" x14ac:dyDescent="0.3">
      <c r="A526" s="4">
        <v>19</v>
      </c>
      <c r="B526" s="14" t="s">
        <v>693</v>
      </c>
      <c r="C526" s="14" t="s">
        <v>587</v>
      </c>
      <c r="D526" s="28">
        <v>12000</v>
      </c>
      <c r="E526" s="28">
        <v>0</v>
      </c>
      <c r="F526" s="28"/>
      <c r="G526" s="13">
        <f>+D526+E526-F526</f>
        <v>12000</v>
      </c>
      <c r="H526" s="28"/>
      <c r="I526" s="3">
        <f>+G526-H526</f>
        <v>12000</v>
      </c>
      <c r="J526" s="4">
        <v>4390</v>
      </c>
      <c r="K526" s="38" t="s">
        <v>487</v>
      </c>
      <c r="M526" s="5"/>
    </row>
    <row r="527" spans="1:13" x14ac:dyDescent="0.3">
      <c r="A527" s="4">
        <v>20</v>
      </c>
      <c r="B527" s="14" t="s">
        <v>654</v>
      </c>
      <c r="C527" s="14" t="s">
        <v>587</v>
      </c>
      <c r="D527" s="28">
        <v>4000</v>
      </c>
      <c r="E527" s="28">
        <v>0</v>
      </c>
      <c r="F527" s="28"/>
      <c r="G527" s="13">
        <f>+D527+E527-F527</f>
        <v>4000</v>
      </c>
      <c r="H527" s="28"/>
      <c r="I527" s="3">
        <f>+G527-H527</f>
        <v>4000</v>
      </c>
      <c r="J527" s="10">
        <v>82</v>
      </c>
      <c r="K527" s="38" t="s">
        <v>69</v>
      </c>
      <c r="M527" s="5"/>
    </row>
    <row r="528" spans="1:13" x14ac:dyDescent="0.3">
      <c r="A528" s="4">
        <v>21</v>
      </c>
      <c r="B528" s="30" t="s">
        <v>591</v>
      </c>
      <c r="C528" s="38" t="s">
        <v>587</v>
      </c>
      <c r="D528" s="32" t="s">
        <v>592</v>
      </c>
      <c r="E528" s="9">
        <v>0</v>
      </c>
      <c r="F528" s="10"/>
      <c r="G528" s="13">
        <f>+D528+E528-F528</f>
        <v>0</v>
      </c>
      <c r="H528" s="10"/>
      <c r="I528" s="3">
        <f>+G528-H528</f>
        <v>0</v>
      </c>
      <c r="J528" s="10">
        <v>4391</v>
      </c>
      <c r="K528" s="38" t="s">
        <v>514</v>
      </c>
      <c r="M528" s="5"/>
    </row>
    <row r="529" spans="1:13" x14ac:dyDescent="0.3">
      <c r="A529" s="4">
        <v>22</v>
      </c>
      <c r="B529" s="14" t="s">
        <v>697</v>
      </c>
      <c r="C529" s="14" t="s">
        <v>587</v>
      </c>
      <c r="D529" s="28">
        <v>16000</v>
      </c>
      <c r="E529" s="28">
        <v>0</v>
      </c>
      <c r="F529" s="28"/>
      <c r="G529" s="13">
        <f>+D529+E529-F529</f>
        <v>16000</v>
      </c>
      <c r="H529" s="28"/>
      <c r="I529" s="3">
        <f>+G529-H529</f>
        <v>16000</v>
      </c>
      <c r="J529" s="4">
        <v>4390</v>
      </c>
      <c r="K529" s="38" t="s">
        <v>655</v>
      </c>
      <c r="M529" s="5"/>
    </row>
    <row r="530" spans="1:13" x14ac:dyDescent="0.3">
      <c r="A530" s="4">
        <v>23</v>
      </c>
      <c r="B530" s="14" t="s">
        <v>695</v>
      </c>
      <c r="C530" s="14" t="s">
        <v>587</v>
      </c>
      <c r="D530" s="28">
        <v>11000</v>
      </c>
      <c r="E530" s="28">
        <v>0</v>
      </c>
      <c r="F530" s="28"/>
      <c r="G530" s="13">
        <f>+D530+E530-F530</f>
        <v>11000</v>
      </c>
      <c r="H530" s="28"/>
      <c r="I530" s="3">
        <f>+G530-H530</f>
        <v>11000</v>
      </c>
      <c r="J530" s="4">
        <v>142</v>
      </c>
      <c r="K530" s="38" t="s">
        <v>313</v>
      </c>
      <c r="M530" s="5"/>
    </row>
    <row r="531" spans="1:13" x14ac:dyDescent="0.3">
      <c r="A531" s="4">
        <v>24</v>
      </c>
      <c r="B531" s="14" t="s">
        <v>698</v>
      </c>
      <c r="C531" s="14" t="s">
        <v>587</v>
      </c>
      <c r="D531" s="28">
        <v>3000</v>
      </c>
      <c r="E531" s="28">
        <v>0</v>
      </c>
      <c r="F531" s="28"/>
      <c r="G531" s="13">
        <f>+D531+E531-F531</f>
        <v>3000</v>
      </c>
      <c r="H531" s="28"/>
      <c r="I531" s="3">
        <f>+G531-H531</f>
        <v>3000</v>
      </c>
      <c r="J531" s="4">
        <v>4390</v>
      </c>
      <c r="K531" s="38" t="s">
        <v>110</v>
      </c>
      <c r="M531" s="5"/>
    </row>
    <row r="532" spans="1:13" x14ac:dyDescent="0.3">
      <c r="A532" s="4">
        <v>25</v>
      </c>
      <c r="B532" s="27" t="s">
        <v>586</v>
      </c>
      <c r="C532" s="38" t="s">
        <v>587</v>
      </c>
      <c r="D532" s="9">
        <v>0</v>
      </c>
      <c r="E532" s="9">
        <v>0</v>
      </c>
      <c r="F532" s="4"/>
      <c r="G532" s="13">
        <f>+D532+E532-F532</f>
        <v>0</v>
      </c>
      <c r="H532" s="4"/>
      <c r="I532" s="3">
        <f>+G532-H532</f>
        <v>0</v>
      </c>
      <c r="J532" s="4">
        <v>142</v>
      </c>
      <c r="K532" s="30" t="s">
        <v>300</v>
      </c>
      <c r="M532" s="5"/>
    </row>
    <row r="533" spans="1:13" x14ac:dyDescent="0.3">
      <c r="A533" s="4">
        <v>26</v>
      </c>
      <c r="B533" s="14" t="s">
        <v>696</v>
      </c>
      <c r="C533" s="14" t="s">
        <v>587</v>
      </c>
      <c r="D533" s="28">
        <v>7000</v>
      </c>
      <c r="E533" s="28">
        <v>0</v>
      </c>
      <c r="F533" s="28"/>
      <c r="G533" s="13">
        <f>+D533+E533-F533</f>
        <v>7000</v>
      </c>
      <c r="H533" s="28"/>
      <c r="I533" s="3">
        <f>+G533-H533</f>
        <v>7000</v>
      </c>
      <c r="J533" s="4">
        <v>4388</v>
      </c>
      <c r="K533" s="38" t="s">
        <v>382</v>
      </c>
      <c r="M533" s="5"/>
    </row>
    <row r="534" spans="1:13" x14ac:dyDescent="0.3">
      <c r="A534" s="4">
        <v>27</v>
      </c>
      <c r="B534" s="27" t="s">
        <v>692</v>
      </c>
      <c r="C534" s="14" t="s">
        <v>587</v>
      </c>
      <c r="D534" s="9">
        <v>1000</v>
      </c>
      <c r="E534" s="28">
        <v>0</v>
      </c>
      <c r="F534" s="3"/>
      <c r="G534" s="13">
        <f>+D534+E534-F534</f>
        <v>1000</v>
      </c>
      <c r="H534" s="3"/>
      <c r="I534" s="3">
        <f>+G534-H534</f>
        <v>1000</v>
      </c>
      <c r="J534" s="4">
        <v>4391</v>
      </c>
      <c r="K534" s="27" t="s">
        <v>119</v>
      </c>
      <c r="M534" s="5"/>
    </row>
    <row r="535" spans="1:13" x14ac:dyDescent="0.3">
      <c r="A535" s="4">
        <v>28</v>
      </c>
      <c r="B535" s="27" t="s">
        <v>590</v>
      </c>
      <c r="C535" s="38" t="s">
        <v>587</v>
      </c>
      <c r="D535" s="4">
        <v>0</v>
      </c>
      <c r="E535" s="9">
        <v>0</v>
      </c>
      <c r="F535" s="4"/>
      <c r="G535" s="13">
        <f>+D535+E535-F535</f>
        <v>0</v>
      </c>
      <c r="H535" s="4"/>
      <c r="I535" s="3">
        <f>+G535-H535</f>
        <v>0</v>
      </c>
      <c r="J535" s="10">
        <v>4390</v>
      </c>
      <c r="K535" s="33" t="s">
        <v>462</v>
      </c>
      <c r="M535" s="5"/>
    </row>
    <row r="536" spans="1:13" x14ac:dyDescent="0.3">
      <c r="A536" s="4">
        <v>29</v>
      </c>
      <c r="B536" s="27" t="s">
        <v>614</v>
      </c>
      <c r="C536" s="29" t="s">
        <v>43</v>
      </c>
      <c r="D536" s="9">
        <v>9000</v>
      </c>
      <c r="E536" s="9">
        <v>0</v>
      </c>
      <c r="F536" s="3"/>
      <c r="G536" s="13">
        <f>+D536+E536-F536</f>
        <v>9000</v>
      </c>
      <c r="H536" s="3"/>
      <c r="I536" s="3">
        <f>+G536-H536</f>
        <v>9000</v>
      </c>
      <c r="J536" s="4">
        <v>4390</v>
      </c>
      <c r="K536" s="27" t="s">
        <v>615</v>
      </c>
      <c r="M536" s="5"/>
    </row>
    <row r="537" spans="1:13" x14ac:dyDescent="0.3">
      <c r="A537" s="4">
        <v>30</v>
      </c>
      <c r="B537" s="27" t="s">
        <v>598</v>
      </c>
      <c r="C537" s="29" t="s">
        <v>19</v>
      </c>
      <c r="D537" s="9">
        <v>8000</v>
      </c>
      <c r="E537" s="28">
        <v>0</v>
      </c>
      <c r="F537" s="3"/>
      <c r="G537" s="13">
        <f>+D537+E537-F537</f>
        <v>8000</v>
      </c>
      <c r="H537" s="3"/>
      <c r="I537" s="3">
        <f>+G537-H537</f>
        <v>8000</v>
      </c>
      <c r="J537" s="4">
        <v>426</v>
      </c>
      <c r="K537" s="29" t="s">
        <v>599</v>
      </c>
      <c r="M537" s="5"/>
    </row>
    <row r="538" spans="1:13" x14ac:dyDescent="0.3">
      <c r="A538" s="4">
        <v>31</v>
      </c>
      <c r="B538" s="27" t="s">
        <v>619</v>
      </c>
      <c r="C538" s="29" t="s">
        <v>19</v>
      </c>
      <c r="D538" s="9">
        <v>6000</v>
      </c>
      <c r="E538" s="28">
        <v>0</v>
      </c>
      <c r="F538" s="3"/>
      <c r="G538" s="13">
        <f>+D538+E538-F538</f>
        <v>6000</v>
      </c>
      <c r="H538" s="3"/>
      <c r="I538" s="3">
        <f>+G538-H538</f>
        <v>6000</v>
      </c>
      <c r="J538" s="4">
        <v>4392</v>
      </c>
      <c r="K538" s="27" t="s">
        <v>547</v>
      </c>
      <c r="M538" s="5"/>
    </row>
    <row r="539" spans="1:13" x14ac:dyDescent="0.3">
      <c r="A539" s="4">
        <v>32</v>
      </c>
      <c r="B539" s="30" t="s">
        <v>601</v>
      </c>
      <c r="C539" s="38" t="s">
        <v>47</v>
      </c>
      <c r="D539" s="9">
        <v>13500</v>
      </c>
      <c r="E539" s="28">
        <v>0</v>
      </c>
      <c r="F539" s="3"/>
      <c r="G539" s="13">
        <f>+D539+E539-F539</f>
        <v>13500</v>
      </c>
      <c r="H539" s="3"/>
      <c r="I539" s="3">
        <f>+G539-H539</f>
        <v>13500</v>
      </c>
      <c r="J539" s="4">
        <v>699</v>
      </c>
      <c r="K539" s="30" t="s">
        <v>225</v>
      </c>
      <c r="M539" s="5"/>
    </row>
    <row r="540" spans="1:13" x14ac:dyDescent="0.3">
      <c r="A540" s="4">
        <v>33</v>
      </c>
      <c r="B540" s="14" t="s">
        <v>630</v>
      </c>
      <c r="C540" s="14" t="s">
        <v>47</v>
      </c>
      <c r="D540" s="28">
        <v>3500</v>
      </c>
      <c r="E540" s="28">
        <v>0</v>
      </c>
      <c r="F540" s="28"/>
      <c r="G540" s="13">
        <f>+D540+E540-F540</f>
        <v>3500</v>
      </c>
      <c r="H540" s="28"/>
      <c r="I540" s="3">
        <f>+G540-H540</f>
        <v>3500</v>
      </c>
      <c r="J540" s="4">
        <v>142</v>
      </c>
      <c r="K540" s="30" t="s">
        <v>307</v>
      </c>
    </row>
    <row r="541" spans="1:13" x14ac:dyDescent="0.3">
      <c r="A541" s="4">
        <v>34</v>
      </c>
      <c r="B541" s="27" t="s">
        <v>608</v>
      </c>
      <c r="C541" s="29" t="s">
        <v>31</v>
      </c>
      <c r="D541" s="9">
        <v>18500</v>
      </c>
      <c r="E541" s="9">
        <v>0</v>
      </c>
      <c r="F541" s="3"/>
      <c r="G541" s="13">
        <f>+D541+E541-F541</f>
        <v>18500</v>
      </c>
      <c r="H541" s="3"/>
      <c r="I541" s="3">
        <f>+G541-H541</f>
        <v>18500</v>
      </c>
      <c r="J541" s="4">
        <v>4388</v>
      </c>
      <c r="K541" s="29" t="s">
        <v>356</v>
      </c>
    </row>
    <row r="542" spans="1:13" x14ac:dyDescent="0.3">
      <c r="A542" s="4">
        <v>35</v>
      </c>
      <c r="B542" s="27" t="s">
        <v>596</v>
      </c>
      <c r="C542" s="29" t="s">
        <v>16</v>
      </c>
      <c r="D542" s="9">
        <v>8450</v>
      </c>
      <c r="E542" s="9">
        <v>0</v>
      </c>
      <c r="F542" s="3"/>
      <c r="G542" s="13">
        <f>+D542+E542-F542</f>
        <v>8450</v>
      </c>
      <c r="H542" s="3"/>
      <c r="I542" s="3">
        <f>+G542-H542</f>
        <v>8450</v>
      </c>
      <c r="J542" s="4">
        <v>82</v>
      </c>
      <c r="K542" s="34" t="s">
        <v>36</v>
      </c>
    </row>
    <row r="543" spans="1:13" x14ac:dyDescent="0.3">
      <c r="A543" s="4">
        <v>36</v>
      </c>
      <c r="B543" s="27" t="s">
        <v>605</v>
      </c>
      <c r="C543" s="29" t="s">
        <v>16</v>
      </c>
      <c r="D543" s="9">
        <v>4500</v>
      </c>
      <c r="E543" s="28">
        <v>0</v>
      </c>
      <c r="F543" s="3"/>
      <c r="G543" s="13">
        <f>+D543+E543-F543</f>
        <v>4500</v>
      </c>
      <c r="H543" s="3"/>
      <c r="I543" s="3">
        <f>+G543-H543</f>
        <v>4500</v>
      </c>
      <c r="J543" s="4">
        <v>142</v>
      </c>
      <c r="K543" s="29" t="s">
        <v>286</v>
      </c>
    </row>
    <row r="544" spans="1:13" x14ac:dyDescent="0.3">
      <c r="A544" s="4">
        <v>37</v>
      </c>
      <c r="B544" s="30" t="s">
        <v>610</v>
      </c>
      <c r="C544" s="38" t="s">
        <v>16</v>
      </c>
      <c r="D544" s="9">
        <v>9000</v>
      </c>
      <c r="E544" s="28">
        <v>0</v>
      </c>
      <c r="F544" s="3"/>
      <c r="G544" s="13">
        <f>+D544+E544-F544</f>
        <v>9000</v>
      </c>
      <c r="H544" s="3"/>
      <c r="I544" s="3">
        <f>+G544-H544</f>
        <v>9000</v>
      </c>
      <c r="J544" s="4">
        <v>4389</v>
      </c>
      <c r="K544" s="30" t="s">
        <v>438</v>
      </c>
    </row>
    <row r="545" spans="1:11" x14ac:dyDescent="0.3">
      <c r="A545" s="4">
        <v>38</v>
      </c>
      <c r="B545" s="27" t="s">
        <v>616</v>
      </c>
      <c r="C545" s="29" t="s">
        <v>16</v>
      </c>
      <c r="D545" s="9">
        <v>8500</v>
      </c>
      <c r="E545" s="9">
        <v>0</v>
      </c>
      <c r="F545" s="3"/>
      <c r="G545" s="13">
        <f>+D545+E545-F545</f>
        <v>8500</v>
      </c>
      <c r="H545" s="3"/>
      <c r="I545" s="3">
        <f>+G545-H545</f>
        <v>8500</v>
      </c>
      <c r="J545" s="4">
        <v>4390</v>
      </c>
      <c r="K545" s="27" t="s">
        <v>615</v>
      </c>
    </row>
    <row r="546" spans="1:11" x14ac:dyDescent="0.3">
      <c r="A546" s="4">
        <v>39</v>
      </c>
      <c r="B546" s="14" t="s">
        <v>622</v>
      </c>
      <c r="C546" s="14" t="s">
        <v>16</v>
      </c>
      <c r="D546" s="28">
        <v>13600</v>
      </c>
      <c r="E546" s="28">
        <v>0</v>
      </c>
      <c r="F546" s="28"/>
      <c r="G546" s="13">
        <f>+D546+E546-F546</f>
        <v>13600</v>
      </c>
      <c r="H546" s="28"/>
      <c r="I546" s="3">
        <f>+G546-H546</f>
        <v>13600</v>
      </c>
      <c r="J546" s="4">
        <v>4390</v>
      </c>
      <c r="K546" s="27" t="s">
        <v>617</v>
      </c>
    </row>
    <row r="547" spans="1:11" x14ac:dyDescent="0.3">
      <c r="A547" s="4">
        <v>40</v>
      </c>
      <c r="B547" s="14" t="s">
        <v>631</v>
      </c>
      <c r="C547" s="14" t="s">
        <v>16</v>
      </c>
      <c r="D547" s="28">
        <v>8400</v>
      </c>
      <c r="E547" s="28">
        <v>0</v>
      </c>
      <c r="F547" s="28"/>
      <c r="G547" s="13">
        <f>+D547+E547-F547</f>
        <v>8400</v>
      </c>
      <c r="H547" s="28"/>
      <c r="I547" s="3">
        <f>+G547-H547</f>
        <v>8400</v>
      </c>
      <c r="J547" s="10">
        <v>699</v>
      </c>
      <c r="K547" s="38" t="s">
        <v>225</v>
      </c>
    </row>
    <row r="548" spans="1:11" x14ac:dyDescent="0.3">
      <c r="A548" s="4">
        <v>41</v>
      </c>
      <c r="B548" s="14" t="s">
        <v>632</v>
      </c>
      <c r="C548" s="14" t="s">
        <v>16</v>
      </c>
      <c r="D548" s="28">
        <v>5500</v>
      </c>
      <c r="E548" s="28">
        <v>0</v>
      </c>
      <c r="F548" s="28"/>
      <c r="G548" s="13">
        <f>+D548+E548-F548</f>
        <v>5500</v>
      </c>
      <c r="H548" s="28"/>
      <c r="I548" s="3">
        <f>+G548-H548</f>
        <v>5500</v>
      </c>
      <c r="J548" s="4">
        <v>426</v>
      </c>
      <c r="K548" s="38" t="s">
        <v>162</v>
      </c>
    </row>
    <row r="549" spans="1:11" x14ac:dyDescent="0.3">
      <c r="A549" s="4">
        <v>42</v>
      </c>
      <c r="B549" s="14" t="s">
        <v>633</v>
      </c>
      <c r="C549" s="14" t="s">
        <v>16</v>
      </c>
      <c r="D549" s="28">
        <v>11050</v>
      </c>
      <c r="E549" s="28">
        <v>0</v>
      </c>
      <c r="F549" s="28"/>
      <c r="G549" s="13">
        <f>+D549+E549-F549</f>
        <v>11050</v>
      </c>
      <c r="H549" s="28"/>
      <c r="I549" s="3">
        <f>+G549-H549</f>
        <v>11050</v>
      </c>
      <c r="J549" s="4">
        <v>142</v>
      </c>
      <c r="K549" s="38" t="s">
        <v>603</v>
      </c>
    </row>
    <row r="550" spans="1:11" x14ac:dyDescent="0.3">
      <c r="A550" s="4">
        <v>43</v>
      </c>
      <c r="B550" s="14" t="s">
        <v>634</v>
      </c>
      <c r="C550" s="14" t="s">
        <v>16</v>
      </c>
      <c r="D550" s="28">
        <v>3750</v>
      </c>
      <c r="E550" s="28">
        <v>0</v>
      </c>
      <c r="F550" s="28"/>
      <c r="G550" s="13">
        <f>+D550+E550-F550</f>
        <v>3750</v>
      </c>
      <c r="H550" s="28"/>
      <c r="I550" s="3">
        <f>+G550-H550</f>
        <v>3750</v>
      </c>
      <c r="J550" s="4">
        <v>4391</v>
      </c>
      <c r="K550" s="38" t="s">
        <v>635</v>
      </c>
    </row>
    <row r="551" spans="1:11" x14ac:dyDescent="0.3">
      <c r="A551" s="4">
        <v>44</v>
      </c>
      <c r="B551" s="14" t="s">
        <v>636</v>
      </c>
      <c r="C551" s="14" t="s">
        <v>16</v>
      </c>
      <c r="D551" s="28">
        <v>22400</v>
      </c>
      <c r="E551" s="28">
        <v>0</v>
      </c>
      <c r="F551" s="28"/>
      <c r="G551" s="13">
        <f>+D551+E551-F551</f>
        <v>22400</v>
      </c>
      <c r="H551" s="28"/>
      <c r="I551" s="3">
        <f>+G551-H551</f>
        <v>22400</v>
      </c>
      <c r="J551" s="4">
        <v>4390</v>
      </c>
      <c r="K551" s="29" t="s">
        <v>460</v>
      </c>
    </row>
    <row r="552" spans="1:11" x14ac:dyDescent="0.3">
      <c r="A552" s="4">
        <v>45</v>
      </c>
      <c r="B552" s="27" t="s">
        <v>609</v>
      </c>
      <c r="C552" s="29" t="s">
        <v>26</v>
      </c>
      <c r="D552" s="9">
        <v>12500</v>
      </c>
      <c r="E552" s="9">
        <v>0</v>
      </c>
      <c r="F552" s="3"/>
      <c r="G552" s="13">
        <f>+D552+E552-F552</f>
        <v>12500</v>
      </c>
      <c r="H552" s="3"/>
      <c r="I552" s="3">
        <f>+G552-H552</f>
        <v>12500</v>
      </c>
      <c r="J552" s="4">
        <v>4388</v>
      </c>
      <c r="K552" s="29" t="s">
        <v>356</v>
      </c>
    </row>
    <row r="553" spans="1:11" x14ac:dyDescent="0.3">
      <c r="A553" s="4">
        <v>46</v>
      </c>
      <c r="B553" s="14" t="s">
        <v>637</v>
      </c>
      <c r="C553" s="14" t="s">
        <v>26</v>
      </c>
      <c r="D553" s="28">
        <v>9500</v>
      </c>
      <c r="E553" s="28">
        <v>0</v>
      </c>
      <c r="F553" s="28"/>
      <c r="G553" s="13">
        <f>+D553+E553-F553</f>
        <v>9500</v>
      </c>
      <c r="H553" s="28"/>
      <c r="I553" s="3">
        <f>+G553-H553</f>
        <v>9500</v>
      </c>
      <c r="J553" s="4">
        <v>426</v>
      </c>
      <c r="K553" s="38" t="s">
        <v>36</v>
      </c>
    </row>
    <row r="554" spans="1:11" x14ac:dyDescent="0.3">
      <c r="A554" s="4">
        <v>47</v>
      </c>
      <c r="B554" s="14" t="s">
        <v>638</v>
      </c>
      <c r="C554" s="14" t="s">
        <v>26</v>
      </c>
      <c r="D554" s="28">
        <v>4000</v>
      </c>
      <c r="E554" s="28">
        <v>0</v>
      </c>
      <c r="F554" s="28"/>
      <c r="G554" s="13">
        <f>+D554+E554-F554</f>
        <v>4000</v>
      </c>
      <c r="H554" s="28">
        <v>4000</v>
      </c>
      <c r="I554" s="3">
        <f>+G554-H554</f>
        <v>0</v>
      </c>
      <c r="J554" s="4">
        <v>4390</v>
      </c>
      <c r="K554" s="29" t="s">
        <v>110</v>
      </c>
    </row>
    <row r="555" spans="1:11" x14ac:dyDescent="0.3">
      <c r="A555" s="4">
        <v>48</v>
      </c>
      <c r="B555" s="27" t="s">
        <v>604</v>
      </c>
      <c r="C555" s="29" t="s">
        <v>29</v>
      </c>
      <c r="D555" s="9">
        <v>11400</v>
      </c>
      <c r="E555" s="9">
        <v>0</v>
      </c>
      <c r="F555" s="3"/>
      <c r="G555" s="13">
        <f>+D555+E555-F555</f>
        <v>11400</v>
      </c>
      <c r="H555" s="3"/>
      <c r="I555" s="3">
        <f>+G555-H555</f>
        <v>11400</v>
      </c>
      <c r="J555" s="4">
        <v>142</v>
      </c>
      <c r="K555" s="29" t="s">
        <v>313</v>
      </c>
    </row>
    <row r="556" spans="1:11" x14ac:dyDescent="0.3">
      <c r="A556" s="4">
        <v>49</v>
      </c>
      <c r="B556" s="27" t="s">
        <v>606</v>
      </c>
      <c r="C556" s="29" t="s">
        <v>29</v>
      </c>
      <c r="D556" s="9">
        <v>12000</v>
      </c>
      <c r="E556" s="28">
        <v>0</v>
      </c>
      <c r="F556" s="3"/>
      <c r="G556" s="13">
        <f>+D556+E556-F556</f>
        <v>12000</v>
      </c>
      <c r="H556" s="3"/>
      <c r="I556" s="3">
        <f>+G556-H556</f>
        <v>12000</v>
      </c>
      <c r="J556" s="4">
        <v>142</v>
      </c>
      <c r="K556" s="29" t="s">
        <v>607</v>
      </c>
    </row>
    <row r="557" spans="1:11" x14ac:dyDescent="0.3">
      <c r="A557" s="4">
        <v>50</v>
      </c>
      <c r="B557" s="27" t="s">
        <v>611</v>
      </c>
      <c r="C557" s="29" t="s">
        <v>29</v>
      </c>
      <c r="D557" s="9">
        <v>22000</v>
      </c>
      <c r="E557" s="9">
        <v>0</v>
      </c>
      <c r="F557" s="3"/>
      <c r="G557" s="13">
        <f>+D557+E557-F557</f>
        <v>22000</v>
      </c>
      <c r="H557" s="3"/>
      <c r="I557" s="3">
        <f>+G557-H557</f>
        <v>22000</v>
      </c>
      <c r="J557" s="4">
        <v>4390</v>
      </c>
      <c r="K557" s="29" t="s">
        <v>612</v>
      </c>
    </row>
    <row r="558" spans="1:11" x14ac:dyDescent="0.3">
      <c r="A558" s="4">
        <v>51</v>
      </c>
      <c r="B558" s="30" t="s">
        <v>620</v>
      </c>
      <c r="C558" s="38" t="s">
        <v>29</v>
      </c>
      <c r="D558" s="9">
        <v>4000</v>
      </c>
      <c r="E558" s="28">
        <v>0</v>
      </c>
      <c r="F558" s="3"/>
      <c r="G558" s="13">
        <f>+D558+E558-F558</f>
        <v>4000</v>
      </c>
      <c r="H558" s="3"/>
      <c r="I558" s="3">
        <f>+G558-H558</f>
        <v>4000</v>
      </c>
      <c r="J558" s="4">
        <v>4392</v>
      </c>
      <c r="K558" s="30" t="s">
        <v>545</v>
      </c>
    </row>
    <row r="559" spans="1:11" x14ac:dyDescent="0.3">
      <c r="A559" s="4">
        <v>52</v>
      </c>
      <c r="B559" s="14" t="s">
        <v>639</v>
      </c>
      <c r="C559" s="14" t="s">
        <v>29</v>
      </c>
      <c r="D559" s="28">
        <v>10000</v>
      </c>
      <c r="E559" s="28">
        <v>0</v>
      </c>
      <c r="F559" s="28"/>
      <c r="G559" s="13">
        <f>+D559+E559-F559</f>
        <v>10000</v>
      </c>
      <c r="H559" s="28"/>
      <c r="I559" s="3">
        <f>+G559-H559</f>
        <v>10000</v>
      </c>
      <c r="J559" s="10">
        <v>4389</v>
      </c>
      <c r="K559" s="38" t="s">
        <v>408</v>
      </c>
    </row>
    <row r="560" spans="1:11" x14ac:dyDescent="0.3">
      <c r="A560" s="4">
        <v>53</v>
      </c>
      <c r="B560" s="14" t="s">
        <v>640</v>
      </c>
      <c r="C560" s="14" t="s">
        <v>29</v>
      </c>
      <c r="D560" s="28">
        <v>25500</v>
      </c>
      <c r="E560" s="28">
        <v>0</v>
      </c>
      <c r="F560" s="28"/>
      <c r="G560" s="13">
        <f>+D560+E560-F560</f>
        <v>25500</v>
      </c>
      <c r="H560" s="28"/>
      <c r="I560" s="3">
        <f>+G560-H560</f>
        <v>25500</v>
      </c>
      <c r="J560" s="4">
        <v>4390</v>
      </c>
      <c r="K560" s="29" t="s">
        <v>460</v>
      </c>
    </row>
    <row r="561" spans="1:11" x14ac:dyDescent="0.3">
      <c r="A561" s="4">
        <v>54</v>
      </c>
      <c r="B561" s="27" t="s">
        <v>600</v>
      </c>
      <c r="C561" s="29" t="s">
        <v>33</v>
      </c>
      <c r="D561" s="9">
        <v>9000</v>
      </c>
      <c r="E561" s="28">
        <v>0</v>
      </c>
      <c r="F561" s="3"/>
      <c r="G561" s="13">
        <f>+D561+E561-F561</f>
        <v>9000</v>
      </c>
      <c r="H561" s="3"/>
      <c r="I561" s="3">
        <f>+G561-H561</f>
        <v>9000</v>
      </c>
      <c r="J561" s="4">
        <v>426</v>
      </c>
      <c r="K561" s="29" t="s">
        <v>69</v>
      </c>
    </row>
    <row r="562" spans="1:11" x14ac:dyDescent="0.3">
      <c r="A562" s="4">
        <v>55</v>
      </c>
      <c r="B562" s="27" t="s">
        <v>602</v>
      </c>
      <c r="C562" s="29" t="s">
        <v>33</v>
      </c>
      <c r="D562" s="9">
        <v>1200</v>
      </c>
      <c r="E562" s="9">
        <v>0</v>
      </c>
      <c r="F562" s="3"/>
      <c r="G562" s="13">
        <f>+D562+E562-F562</f>
        <v>1200</v>
      </c>
      <c r="H562" s="3"/>
      <c r="I562" s="3">
        <f>+G562-H562</f>
        <v>1200</v>
      </c>
      <c r="J562" s="4">
        <v>142</v>
      </c>
      <c r="K562" s="29" t="s">
        <v>603</v>
      </c>
    </row>
    <row r="563" spans="1:11" x14ac:dyDescent="0.3">
      <c r="A563" s="4">
        <v>56</v>
      </c>
      <c r="B563" s="30" t="s">
        <v>618</v>
      </c>
      <c r="C563" s="38" t="s">
        <v>33</v>
      </c>
      <c r="D563" s="9">
        <v>4000</v>
      </c>
      <c r="E563" s="28">
        <v>0</v>
      </c>
      <c r="F563" s="3"/>
      <c r="G563" s="13">
        <f>+D563+E563-F563</f>
        <v>4000</v>
      </c>
      <c r="H563" s="3"/>
      <c r="I563" s="3">
        <f>+G563-H563</f>
        <v>4000</v>
      </c>
      <c r="J563" s="4">
        <v>4391</v>
      </c>
      <c r="K563" s="29" t="s">
        <v>516</v>
      </c>
    </row>
    <row r="564" spans="1:11" x14ac:dyDescent="0.3">
      <c r="A564" s="4">
        <v>57</v>
      </c>
      <c r="B564" s="14" t="s">
        <v>641</v>
      </c>
      <c r="C564" s="14" t="s">
        <v>642</v>
      </c>
      <c r="D564" s="28">
        <v>400</v>
      </c>
      <c r="E564" s="28">
        <v>0</v>
      </c>
      <c r="F564" s="28"/>
      <c r="G564" s="13">
        <f>+D564+E564-F564</f>
        <v>400</v>
      </c>
      <c r="H564" s="28"/>
      <c r="I564" s="3">
        <f>+G564-H564</f>
        <v>400</v>
      </c>
      <c r="J564" s="10">
        <v>83</v>
      </c>
      <c r="K564" s="38" t="s">
        <v>350</v>
      </c>
    </row>
    <row r="565" spans="1:11" x14ac:dyDescent="0.3">
      <c r="A565" s="4">
        <v>58</v>
      </c>
      <c r="B565" s="14" t="s">
        <v>643</v>
      </c>
      <c r="C565" s="14" t="s">
        <v>642</v>
      </c>
      <c r="D565" s="28">
        <v>6000</v>
      </c>
      <c r="E565" s="28">
        <v>0</v>
      </c>
      <c r="F565" s="28"/>
      <c r="G565" s="13">
        <f>+D565+E565-F565</f>
        <v>6000</v>
      </c>
      <c r="H565" s="28"/>
      <c r="I565" s="3">
        <f>+G565-H565</f>
        <v>6000</v>
      </c>
      <c r="J565" s="10">
        <v>4389</v>
      </c>
      <c r="K565" s="38" t="s">
        <v>408</v>
      </c>
    </row>
    <row r="566" spans="1:11" x14ac:dyDescent="0.3">
      <c r="A566" s="4">
        <v>59</v>
      </c>
      <c r="B566" s="14" t="s">
        <v>644</v>
      </c>
      <c r="C566" s="14" t="s">
        <v>642</v>
      </c>
      <c r="D566" s="28">
        <v>2000</v>
      </c>
      <c r="E566" s="28">
        <v>0</v>
      </c>
      <c r="F566" s="28"/>
      <c r="G566" s="13">
        <f>+D566+E566-F566</f>
        <v>2000</v>
      </c>
      <c r="H566" s="28"/>
      <c r="I566" s="3">
        <f>+G566-H566</f>
        <v>2000</v>
      </c>
      <c r="J566" s="10">
        <v>699</v>
      </c>
      <c r="K566" s="38" t="s">
        <v>225</v>
      </c>
    </row>
    <row r="567" spans="1:11" x14ac:dyDescent="0.3">
      <c r="A567" s="4">
        <v>60</v>
      </c>
      <c r="B567" s="14" t="s">
        <v>645</v>
      </c>
      <c r="C567" s="14" t="s">
        <v>642</v>
      </c>
      <c r="D567" s="28">
        <v>4000</v>
      </c>
      <c r="E567" s="28">
        <v>0</v>
      </c>
      <c r="F567" s="28"/>
      <c r="G567" s="13">
        <f>+D567+E567-F567</f>
        <v>4000</v>
      </c>
      <c r="H567" s="28"/>
      <c r="I567" s="3">
        <f>+G567-H567</f>
        <v>4000</v>
      </c>
      <c r="J567" s="10">
        <v>426</v>
      </c>
      <c r="K567" s="38" t="s">
        <v>599</v>
      </c>
    </row>
    <row r="568" spans="1:11" x14ac:dyDescent="0.3">
      <c r="A568" s="4">
        <v>61</v>
      </c>
      <c r="B568" s="14" t="s">
        <v>646</v>
      </c>
      <c r="C568" s="14" t="s">
        <v>642</v>
      </c>
      <c r="D568" s="28">
        <v>4000</v>
      </c>
      <c r="E568" s="28">
        <v>0</v>
      </c>
      <c r="F568" s="28"/>
      <c r="G568" s="13">
        <f>+D568+E568-F568</f>
        <v>4000</v>
      </c>
      <c r="H568" s="28"/>
      <c r="I568" s="3">
        <f>+G568-H568</f>
        <v>4000</v>
      </c>
      <c r="J568" s="4">
        <v>426</v>
      </c>
      <c r="K568" s="38" t="s">
        <v>36</v>
      </c>
    </row>
    <row r="569" spans="1:11" x14ac:dyDescent="0.3">
      <c r="A569" s="4">
        <v>62</v>
      </c>
      <c r="B569" s="14" t="s">
        <v>647</v>
      </c>
      <c r="C569" s="14" t="s">
        <v>642</v>
      </c>
      <c r="D569" s="28">
        <v>1500</v>
      </c>
      <c r="E569" s="28">
        <v>0</v>
      </c>
      <c r="F569" s="28"/>
      <c r="G569" s="13">
        <f>+D569+E569-F569</f>
        <v>1500</v>
      </c>
      <c r="H569" s="28"/>
      <c r="I569" s="3">
        <f>+G569-H569</f>
        <v>1500</v>
      </c>
      <c r="J569" s="4">
        <v>142</v>
      </c>
      <c r="K569" s="38" t="s">
        <v>313</v>
      </c>
    </row>
    <row r="570" spans="1:11" x14ac:dyDescent="0.3">
      <c r="A570" s="4">
        <v>63</v>
      </c>
      <c r="B570" s="14" t="s">
        <v>648</v>
      </c>
      <c r="C570" s="14" t="s">
        <v>642</v>
      </c>
      <c r="D570" s="28">
        <v>14500</v>
      </c>
      <c r="E570" s="28">
        <v>0</v>
      </c>
      <c r="F570" s="28"/>
      <c r="G570" s="13">
        <f>+D570+E570-F570</f>
        <v>14500</v>
      </c>
      <c r="H570" s="28"/>
      <c r="I570" s="3">
        <f>+G570-H570</f>
        <v>14500</v>
      </c>
      <c r="J570" s="4">
        <v>142</v>
      </c>
      <c r="K570" s="38" t="s">
        <v>603</v>
      </c>
    </row>
    <row r="571" spans="1:11" x14ac:dyDescent="0.3">
      <c r="A571" s="4">
        <v>64</v>
      </c>
      <c r="B571" s="14" t="s">
        <v>649</v>
      </c>
      <c r="C571" s="14" t="s">
        <v>642</v>
      </c>
      <c r="D571" s="28">
        <v>13500</v>
      </c>
      <c r="E571" s="28">
        <v>0</v>
      </c>
      <c r="F571" s="28"/>
      <c r="G571" s="13">
        <f>+D571+E571-F571</f>
        <v>13500</v>
      </c>
      <c r="H571" s="28"/>
      <c r="I571" s="3">
        <f>+G571-H571</f>
        <v>13500</v>
      </c>
      <c r="J571" s="4">
        <v>4391</v>
      </c>
      <c r="K571" s="38" t="s">
        <v>650</v>
      </c>
    </row>
    <row r="572" spans="1:11" x14ac:dyDescent="0.3">
      <c r="A572" s="4">
        <v>65</v>
      </c>
      <c r="B572" s="14" t="s">
        <v>651</v>
      </c>
      <c r="C572" s="14" t="s">
        <v>642</v>
      </c>
      <c r="D572" s="28">
        <v>23000</v>
      </c>
      <c r="E572" s="28">
        <v>0</v>
      </c>
      <c r="F572" s="28"/>
      <c r="G572" s="13">
        <f>+D572+E572-F572</f>
        <v>23000</v>
      </c>
      <c r="H572" s="28"/>
      <c r="I572" s="3">
        <f>+G572-H572</f>
        <v>23000</v>
      </c>
      <c r="J572" s="4">
        <v>4390</v>
      </c>
      <c r="K572" s="30" t="s">
        <v>652</v>
      </c>
    </row>
    <row r="573" spans="1:11" x14ac:dyDescent="0.3">
      <c r="A573" s="4">
        <v>66</v>
      </c>
      <c r="B573" s="27" t="s">
        <v>597</v>
      </c>
      <c r="C573" s="29" t="s">
        <v>75</v>
      </c>
      <c r="D573" s="9">
        <v>4500</v>
      </c>
      <c r="E573" s="28">
        <v>0</v>
      </c>
      <c r="F573" s="3"/>
      <c r="G573" s="13">
        <f>+D573+E573-F573</f>
        <v>4500</v>
      </c>
      <c r="H573" s="3"/>
      <c r="I573" s="3">
        <f>+G573-H573</f>
        <v>4500</v>
      </c>
      <c r="J573" s="4">
        <v>82</v>
      </c>
      <c r="K573" s="27" t="s">
        <v>17</v>
      </c>
    </row>
    <row r="574" spans="1:11" x14ac:dyDescent="0.3">
      <c r="A574" s="4"/>
      <c r="B574" s="14"/>
      <c r="C574" s="14"/>
      <c r="D574" s="37">
        <f t="shared" ref="D574:I574" si="11">SUM(D508:D573)</f>
        <v>615900</v>
      </c>
      <c r="E574" s="37">
        <f t="shared" si="11"/>
        <v>0</v>
      </c>
      <c r="F574" s="37">
        <f t="shared" si="11"/>
        <v>0</v>
      </c>
      <c r="G574" s="37">
        <f t="shared" si="11"/>
        <v>615900</v>
      </c>
      <c r="H574" s="37">
        <f t="shared" si="11"/>
        <v>7000</v>
      </c>
      <c r="I574" s="37">
        <f t="shared" si="11"/>
        <v>608900</v>
      </c>
      <c r="J574" s="35"/>
      <c r="K574" s="35"/>
    </row>
    <row r="575" spans="1:11" x14ac:dyDescent="0.3">
      <c r="D575" s="5"/>
      <c r="E575" s="5"/>
      <c r="F575" s="5"/>
      <c r="G575" s="5"/>
      <c r="H575" s="5"/>
      <c r="I575" s="5"/>
    </row>
    <row r="579" spans="11:15" x14ac:dyDescent="0.3">
      <c r="O579" s="43"/>
    </row>
    <row r="581" spans="11:15" x14ac:dyDescent="0.3">
      <c r="K581" s="43"/>
      <c r="O581" s="43"/>
    </row>
    <row r="583" spans="11:15" x14ac:dyDescent="0.3">
      <c r="K583" s="47"/>
      <c r="L583" s="15"/>
      <c r="M583" s="16"/>
      <c r="N583" s="17"/>
      <c r="O583" s="17"/>
    </row>
    <row r="584" spans="11:15" x14ac:dyDescent="0.3">
      <c r="L584" s="15"/>
      <c r="M584" s="16"/>
      <c r="N584" s="17"/>
      <c r="O584" s="48"/>
    </row>
    <row r="585" spans="11:15" x14ac:dyDescent="0.3">
      <c r="L585" s="15"/>
      <c r="M585" s="18"/>
      <c r="N585" s="19"/>
    </row>
    <row r="586" spans="11:15" x14ac:dyDescent="0.3">
      <c r="L586" s="15"/>
      <c r="M586" s="16"/>
      <c r="N586" s="20"/>
    </row>
    <row r="587" spans="11:15" x14ac:dyDescent="0.3">
      <c r="L587" s="15"/>
      <c r="M587" s="16"/>
      <c r="N587" s="21"/>
    </row>
    <row r="588" spans="11:15" x14ac:dyDescent="0.3">
      <c r="L588" s="15"/>
      <c r="M588" s="16"/>
      <c r="N588" s="22"/>
    </row>
    <row r="589" spans="11:15" x14ac:dyDescent="0.3">
      <c r="L589" s="15"/>
      <c r="M589" s="16"/>
      <c r="N589" s="22"/>
    </row>
    <row r="590" spans="11:15" x14ac:dyDescent="0.3">
      <c r="L590" s="15"/>
      <c r="M590" s="18"/>
      <c r="N590" s="19"/>
    </row>
    <row r="591" spans="11:15" x14ac:dyDescent="0.3">
      <c r="L591" s="15"/>
      <c r="M591" s="16"/>
      <c r="N591" s="22"/>
    </row>
    <row r="592" spans="11:15" x14ac:dyDescent="0.3">
      <c r="L592" s="15"/>
      <c r="M592" s="16"/>
      <c r="N592" s="22"/>
    </row>
    <row r="593" spans="12:14" x14ac:dyDescent="0.3">
      <c r="L593" s="15"/>
      <c r="M593" s="16"/>
      <c r="N593" s="22"/>
    </row>
    <row r="594" spans="12:14" x14ac:dyDescent="0.3">
      <c r="L594" s="15"/>
      <c r="M594" s="16"/>
      <c r="N594" s="23"/>
    </row>
  </sheetData>
  <sortState ref="B524:K536">
    <sortCondition ref="B524:B536"/>
  </sortState>
  <mergeCells count="36">
    <mergeCell ref="A459:K459"/>
    <mergeCell ref="A460:K460"/>
    <mergeCell ref="A461:K461"/>
    <mergeCell ref="A504:K504"/>
    <mergeCell ref="A505:K505"/>
    <mergeCell ref="A506:K506"/>
    <mergeCell ref="A386:K386"/>
    <mergeCell ref="A387:K387"/>
    <mergeCell ref="A388:K388"/>
    <mergeCell ref="A435:K435"/>
    <mergeCell ref="A436:K436"/>
    <mergeCell ref="A437:K437"/>
    <mergeCell ref="A294:K294"/>
    <mergeCell ref="A295:K295"/>
    <mergeCell ref="A296:K296"/>
    <mergeCell ref="A343:K343"/>
    <mergeCell ref="A344:K344"/>
    <mergeCell ref="A345:K345"/>
    <mergeCell ref="A178:K178"/>
    <mergeCell ref="A179:K179"/>
    <mergeCell ref="A180:K180"/>
    <mergeCell ref="A243:K243"/>
    <mergeCell ref="A244:K244"/>
    <mergeCell ref="A245:K245"/>
    <mergeCell ref="A110:K110"/>
    <mergeCell ref="A111:K111"/>
    <mergeCell ref="A112:K112"/>
    <mergeCell ref="A143:K143"/>
    <mergeCell ref="A144:K144"/>
    <mergeCell ref="A145:K145"/>
    <mergeCell ref="A1:K1"/>
    <mergeCell ref="A2:K2"/>
    <mergeCell ref="A3:K3"/>
    <mergeCell ref="A52:K52"/>
    <mergeCell ref="A53:K53"/>
    <mergeCell ref="A54:K54"/>
  </mergeCells>
  <conditionalFormatting sqref="B509">
    <cfRule type="duplicateValues" dxfId="66" priority="2" stopIfTrue="1"/>
  </conditionalFormatting>
  <conditionalFormatting sqref="B52">
    <cfRule type="duplicateValues" dxfId="65" priority="37" stopIfTrue="1"/>
  </conditionalFormatting>
  <conditionalFormatting sqref="B110">
    <cfRule type="duplicateValues" dxfId="64" priority="35" stopIfTrue="1"/>
  </conditionalFormatting>
  <conditionalFormatting sqref="B517:B518 B114:B123 B125:B129">
    <cfRule type="duplicateValues" dxfId="63" priority="34" stopIfTrue="1"/>
  </conditionalFormatting>
  <conditionalFormatting sqref="B519:B520 B130:B141">
    <cfRule type="duplicateValues" dxfId="62" priority="36" stopIfTrue="1"/>
  </conditionalFormatting>
  <conditionalFormatting sqref="B386">
    <cfRule type="duplicateValues" dxfId="61" priority="33" stopIfTrue="1"/>
  </conditionalFormatting>
  <conditionalFormatting sqref="B143">
    <cfRule type="duplicateValues" dxfId="60" priority="32" stopIfTrue="1"/>
  </conditionalFormatting>
  <conditionalFormatting sqref="B178">
    <cfRule type="duplicateValues" dxfId="59" priority="31" stopIfTrue="1"/>
  </conditionalFormatting>
  <conditionalFormatting sqref="B243">
    <cfRule type="duplicateValues" dxfId="58" priority="30" stopIfTrue="1"/>
  </conditionalFormatting>
  <conditionalFormatting sqref="B530:B534 B390:B394 B396:B398">
    <cfRule type="duplicateValues" dxfId="57" priority="38" stopIfTrue="1"/>
  </conditionalFormatting>
  <conditionalFormatting sqref="B294">
    <cfRule type="duplicateValues" dxfId="56" priority="27" stopIfTrue="1"/>
  </conditionalFormatting>
  <conditionalFormatting sqref="B341 B311:B339">
    <cfRule type="duplicateValues" dxfId="55" priority="28" stopIfTrue="1"/>
  </conditionalFormatting>
  <conditionalFormatting sqref="B526:B528 B341 B297:B339 B154">
    <cfRule type="duplicateValues" dxfId="54" priority="29"/>
  </conditionalFormatting>
  <conditionalFormatting sqref="B343">
    <cfRule type="duplicateValues" dxfId="53" priority="26" stopIfTrue="1"/>
  </conditionalFormatting>
  <conditionalFormatting sqref="B435">
    <cfRule type="duplicateValues" dxfId="52" priority="25" stopIfTrue="1"/>
  </conditionalFormatting>
  <conditionalFormatting sqref="B535">
    <cfRule type="duplicateValues" dxfId="51" priority="24" stopIfTrue="1"/>
  </conditionalFormatting>
  <conditionalFormatting sqref="B340">
    <cfRule type="duplicateValues" dxfId="50" priority="23" stopIfTrue="1"/>
  </conditionalFormatting>
  <conditionalFormatting sqref="B459">
    <cfRule type="duplicateValues" dxfId="49" priority="22" stopIfTrue="1"/>
  </conditionalFormatting>
  <conditionalFormatting sqref="B504">
    <cfRule type="duplicateValues" dxfId="48" priority="21" stopIfTrue="1"/>
  </conditionalFormatting>
  <conditionalFormatting sqref="B395 B63:B108">
    <cfRule type="duplicateValues" dxfId="47" priority="39" stopIfTrue="1"/>
  </conditionalFormatting>
  <conditionalFormatting sqref="B538 B474:B480 B486:B502 B482:B483">
    <cfRule type="duplicateValues" dxfId="46" priority="40" stopIfTrue="1"/>
  </conditionalFormatting>
  <conditionalFormatting sqref="B5:B10 B514:B515">
    <cfRule type="duplicateValues" dxfId="45" priority="41" stopIfTrue="1"/>
  </conditionalFormatting>
  <conditionalFormatting sqref="B124 B1:B3 B11:B50">
    <cfRule type="duplicateValues" dxfId="44" priority="42" stopIfTrue="1"/>
  </conditionalFormatting>
  <conditionalFormatting sqref="B124 B4:B50 B514:B515">
    <cfRule type="duplicateValues" dxfId="43" priority="43"/>
  </conditionalFormatting>
  <conditionalFormatting sqref="B481">
    <cfRule type="duplicateValues" dxfId="42" priority="19" stopIfTrue="1"/>
  </conditionalFormatting>
  <conditionalFormatting sqref="B481">
    <cfRule type="duplicateValues" dxfId="41" priority="20"/>
  </conditionalFormatting>
  <conditionalFormatting sqref="B526:B528 B298:B310 B154">
    <cfRule type="duplicateValues" dxfId="40" priority="44" stopIfTrue="1"/>
  </conditionalFormatting>
  <conditionalFormatting sqref="B525 B273:B292 B262:B271">
    <cfRule type="duplicateValues" dxfId="39" priority="45" stopIfTrue="1"/>
  </conditionalFormatting>
  <conditionalFormatting sqref="B272">
    <cfRule type="duplicateValues" dxfId="38" priority="18" stopIfTrue="1"/>
  </conditionalFormatting>
  <conditionalFormatting sqref="B485">
    <cfRule type="duplicateValues" dxfId="37" priority="17" stopIfTrue="1"/>
  </conditionalFormatting>
  <conditionalFormatting sqref="B516 B56:B62">
    <cfRule type="duplicateValues" dxfId="36" priority="46" stopIfTrue="1"/>
  </conditionalFormatting>
  <conditionalFormatting sqref="B516 B395 B56:B108">
    <cfRule type="duplicateValues" dxfId="35" priority="47"/>
  </conditionalFormatting>
  <conditionalFormatting sqref="B521 B196:B241">
    <cfRule type="duplicateValues" dxfId="34" priority="48" stopIfTrue="1"/>
  </conditionalFormatting>
  <conditionalFormatting sqref="B517:B520 B125:B141 B113:B123">
    <cfRule type="duplicateValues" dxfId="33" priority="49"/>
  </conditionalFormatting>
  <conditionalFormatting sqref="B529 B347:B357">
    <cfRule type="duplicateValues" dxfId="32" priority="50" stopIfTrue="1"/>
  </conditionalFormatting>
  <conditionalFormatting sqref="B529 B346:B384">
    <cfRule type="duplicateValues" dxfId="31" priority="51"/>
  </conditionalFormatting>
  <conditionalFormatting sqref="B507">
    <cfRule type="duplicateValues" dxfId="30" priority="52"/>
  </conditionalFormatting>
  <conditionalFormatting sqref="B521 B513 B181:B241">
    <cfRule type="duplicateValues" dxfId="29" priority="53"/>
  </conditionalFormatting>
  <conditionalFormatting sqref="B535:B536 B511:B512 B449:B457 B438:B445">
    <cfRule type="duplicateValues" dxfId="28" priority="54"/>
  </conditionalFormatting>
  <conditionalFormatting sqref="B537 B463:B473">
    <cfRule type="duplicateValues" dxfId="27" priority="55" stopIfTrue="1"/>
  </conditionalFormatting>
  <conditionalFormatting sqref="B537:B538 B486:B502 B482:B483 B462:B480">
    <cfRule type="duplicateValues" dxfId="26" priority="56"/>
  </conditionalFormatting>
  <conditionalFormatting sqref="B415">
    <cfRule type="duplicateValues" dxfId="25" priority="15" stopIfTrue="1"/>
  </conditionalFormatting>
  <conditionalFormatting sqref="B415">
    <cfRule type="duplicateValues" dxfId="24" priority="16"/>
  </conditionalFormatting>
  <conditionalFormatting sqref="B536 B511 B449:B457">
    <cfRule type="duplicateValues" dxfId="23" priority="57" stopIfTrue="1"/>
  </conditionalFormatting>
  <conditionalFormatting sqref="B358:B384">
    <cfRule type="duplicateValues" dxfId="22" priority="58" stopIfTrue="1"/>
  </conditionalFormatting>
  <conditionalFormatting sqref="B510 B484 B427:B433 B416:B425 B399:B414">
    <cfRule type="duplicateValues" dxfId="21" priority="59" stopIfTrue="1"/>
  </conditionalFormatting>
  <conditionalFormatting sqref="B530:B534 B510 B484 B416:B433 B396:B414 B389:B394">
    <cfRule type="duplicateValues" dxfId="20" priority="60"/>
  </conditionalFormatting>
  <conditionalFormatting sqref="B150:B153 B147:B148 B155:B160">
    <cfRule type="duplicateValues" dxfId="19" priority="61" stopIfTrue="1"/>
  </conditionalFormatting>
  <conditionalFormatting sqref="B513 B182:B195">
    <cfRule type="duplicateValues" dxfId="18" priority="62" stopIfTrue="1"/>
  </conditionalFormatting>
  <conditionalFormatting sqref="B512 B439:B445">
    <cfRule type="duplicateValues" dxfId="17" priority="63" stopIfTrue="1"/>
  </conditionalFormatting>
  <conditionalFormatting sqref="B53:B54">
    <cfRule type="duplicateValues" dxfId="16" priority="14" stopIfTrue="1"/>
  </conditionalFormatting>
  <conditionalFormatting sqref="B111:B112">
    <cfRule type="duplicateValues" dxfId="15" priority="13" stopIfTrue="1"/>
  </conditionalFormatting>
  <conditionalFormatting sqref="B144:B145">
    <cfRule type="duplicateValues" dxfId="14" priority="12" stopIfTrue="1"/>
  </conditionalFormatting>
  <conditionalFormatting sqref="B179:B180">
    <cfRule type="duplicateValues" dxfId="13" priority="11" stopIfTrue="1"/>
  </conditionalFormatting>
  <conditionalFormatting sqref="B244:B245">
    <cfRule type="duplicateValues" dxfId="12" priority="10" stopIfTrue="1"/>
  </conditionalFormatting>
  <conditionalFormatting sqref="B295:B296">
    <cfRule type="duplicateValues" dxfId="11" priority="9" stopIfTrue="1"/>
  </conditionalFormatting>
  <conditionalFormatting sqref="B344:B345">
    <cfRule type="duplicateValues" dxfId="10" priority="8" stopIfTrue="1"/>
  </conditionalFormatting>
  <conditionalFormatting sqref="B387:B388">
    <cfRule type="duplicateValues" dxfId="9" priority="7" stopIfTrue="1"/>
  </conditionalFormatting>
  <conditionalFormatting sqref="B436:B437">
    <cfRule type="duplicateValues" dxfId="8" priority="6" stopIfTrue="1"/>
  </conditionalFormatting>
  <conditionalFormatting sqref="B460:B461">
    <cfRule type="duplicateValues" dxfId="7" priority="5" stopIfTrue="1"/>
  </conditionalFormatting>
  <conditionalFormatting sqref="B505:B506">
    <cfRule type="duplicateValues" dxfId="6" priority="4" stopIfTrue="1"/>
  </conditionalFormatting>
  <conditionalFormatting sqref="B539:B574">
    <cfRule type="duplicateValues" dxfId="5" priority="64" stopIfTrue="1"/>
  </conditionalFormatting>
  <conditionalFormatting sqref="B161:B176">
    <cfRule type="duplicateValues" dxfId="4" priority="65" stopIfTrue="1"/>
  </conditionalFormatting>
  <conditionalFormatting sqref="B150:B153 B146:B148 B155:B176">
    <cfRule type="duplicateValues" dxfId="3" priority="66"/>
  </conditionalFormatting>
  <conditionalFormatting sqref="B509">
    <cfRule type="duplicateValues" dxfId="2" priority="3"/>
  </conditionalFormatting>
  <conditionalFormatting sqref="B522:B524 B508 B247:B261">
    <cfRule type="duplicateValues" dxfId="1" priority="67" stopIfTrue="1"/>
  </conditionalFormatting>
  <conditionalFormatting sqref="B522:B525 B508 B273:B292 B246:B271">
    <cfRule type="duplicateValues" dxfId="0" priority="68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2026-06-06T09:13:58Z</dcterms:modified>
</cp:coreProperties>
</file>